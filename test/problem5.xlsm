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42\ProjectsVS\GaneshaXL\problems\"/>
    </mc:Choice>
  </mc:AlternateContent>
  <xr:revisionPtr revIDLastSave="0" documentId="13_ncr:1_{6F74B01B-B590-4730-A006-78220A04A8F4}" xr6:coauthVersionLast="45" xr6:coauthVersionMax="45" xr10:uidLastSave="{00000000-0000-0000-0000-000000000000}"/>
  <bookViews>
    <workbookView xWindow="-120" yWindow="-120" windowWidth="29040" windowHeight="15840" tabRatio="251" xr2:uid="{1B9448F9-050D-4D71-8B85-D88036EF3C89}"/>
  </bookViews>
  <sheets>
    <sheet name="problem" sheetId="2" r:id="rId1"/>
  </sheets>
  <definedNames>
    <definedName name="_cur">problem!$A$5:$A$65</definedName>
    <definedName name="_ideali">problem!#REF!</definedName>
    <definedName name="_idealj">problem!#REF!</definedName>
    <definedName name="_ipc">problem!$AE$5</definedName>
    <definedName name="_new">problem!$AB$5:$AB$65</definedName>
    <definedName name="_obj">problem!$X$5</definedName>
    <definedName name="_out">#REF!</definedName>
    <definedName name="_schema">problem!$B$4:$J$4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E19" i="2" l="1"/>
  <c r="A66" i="2" l="1" a="1"/>
  <c r="A66" i="2" s="1"/>
  <c r="B5" i="2" l="1" a="1"/>
  <c r="A68" i="2"/>
  <c r="A81" i="2"/>
  <c r="A73" i="2"/>
  <c r="A80" i="2"/>
  <c r="A72" i="2"/>
  <c r="A87" i="2"/>
  <c r="A79" i="2"/>
  <c r="A71" i="2"/>
  <c r="A86" i="2"/>
  <c r="A78" i="2"/>
  <c r="A70" i="2"/>
  <c r="A85" i="2"/>
  <c r="A77" i="2"/>
  <c r="A69" i="2"/>
  <c r="A84" i="2"/>
  <c r="A76" i="2"/>
  <c r="A83" i="2"/>
  <c r="A75" i="2"/>
  <c r="A67" i="2"/>
  <c r="A82" i="2"/>
  <c r="A74" i="2"/>
  <c r="B5" i="2" l="1"/>
  <c r="AD8" i="2" s="1"/>
  <c r="I5" i="2"/>
  <c r="AD15" i="2" s="1"/>
  <c r="D10" i="2"/>
  <c r="I13" i="2"/>
  <c r="E17" i="2"/>
  <c r="J20" i="2"/>
  <c r="F24" i="2"/>
  <c r="H27" i="2"/>
  <c r="I29" i="2"/>
  <c r="D32" i="2"/>
  <c r="I34" i="2"/>
  <c r="J36" i="2"/>
  <c r="E39" i="2"/>
  <c r="C41" i="2"/>
  <c r="I42" i="2"/>
  <c r="B44" i="2"/>
  <c r="G45" i="2"/>
  <c r="C47" i="2"/>
  <c r="E48" i="2"/>
  <c r="I49" i="2"/>
  <c r="J50" i="2"/>
  <c r="B52" i="2"/>
  <c r="E53" i="2"/>
  <c r="F54" i="2"/>
  <c r="G55" i="2"/>
  <c r="J56" i="2"/>
  <c r="B58" i="2"/>
  <c r="C59" i="2"/>
  <c r="F60" i="2"/>
  <c r="G61" i="2"/>
  <c r="H62" i="2"/>
  <c r="B64" i="2"/>
  <c r="C65" i="2"/>
  <c r="D66" i="2"/>
  <c r="G67" i="2"/>
  <c r="H68" i="2"/>
  <c r="I69" i="2"/>
  <c r="C71" i="2"/>
  <c r="D72" i="2"/>
  <c r="E73" i="2"/>
  <c r="H74" i="2"/>
  <c r="I75" i="2"/>
  <c r="J76" i="2"/>
  <c r="B78" i="2"/>
  <c r="B79" i="2"/>
  <c r="B80" i="2"/>
  <c r="J80" i="2"/>
  <c r="I81" i="2"/>
  <c r="H82" i="2"/>
  <c r="G83" i="2"/>
  <c r="F84" i="2"/>
  <c r="E85" i="2"/>
  <c r="D86" i="2"/>
  <c r="C87" i="2"/>
  <c r="E59" i="2"/>
  <c r="J62" i="2"/>
  <c r="D65" i="2"/>
  <c r="H67" i="2"/>
  <c r="B70" i="2"/>
  <c r="E72" i="2"/>
  <c r="G73" i="2"/>
  <c r="J75" i="2"/>
  <c r="C78" i="2"/>
  <c r="C80" i="2"/>
  <c r="B81" i="2"/>
  <c r="I82" i="2"/>
  <c r="G84" i="2"/>
  <c r="E86" i="2"/>
  <c r="J83" i="2"/>
  <c r="H85" i="2"/>
  <c r="C55" i="2"/>
  <c r="F64" i="2"/>
  <c r="E69" i="2"/>
  <c r="F76" i="2"/>
  <c r="F79" i="2"/>
  <c r="C83" i="2"/>
  <c r="H86" i="2"/>
  <c r="C16" i="2"/>
  <c r="C42" i="2"/>
  <c r="H6" i="2"/>
  <c r="I10" i="2"/>
  <c r="E14" i="2"/>
  <c r="J17" i="2"/>
  <c r="F21" i="2"/>
  <c r="B25" i="2"/>
  <c r="I27" i="2"/>
  <c r="E30" i="2"/>
  <c r="F32" i="2"/>
  <c r="J34" i="2"/>
  <c r="F37" i="2"/>
  <c r="F39" i="2"/>
  <c r="D41" i="2"/>
  <c r="J42" i="2"/>
  <c r="F44" i="2"/>
  <c r="H45" i="2"/>
  <c r="D47" i="2"/>
  <c r="F48" i="2"/>
  <c r="J49" i="2"/>
  <c r="B51" i="2"/>
  <c r="D52" i="2"/>
  <c r="F53" i="2"/>
  <c r="G54" i="2"/>
  <c r="I55" i="2"/>
  <c r="B57" i="2"/>
  <c r="C58" i="2"/>
  <c r="G60" i="2"/>
  <c r="H61" i="2"/>
  <c r="C64" i="2"/>
  <c r="F66" i="2"/>
  <c r="I68" i="2"/>
  <c r="D71" i="2"/>
  <c r="I74" i="2"/>
  <c r="C77" i="2"/>
  <c r="C79" i="2"/>
  <c r="J81" i="2"/>
  <c r="H83" i="2"/>
  <c r="F85" i="2"/>
  <c r="D87" i="2"/>
  <c r="I84" i="2"/>
  <c r="F87" i="2"/>
  <c r="D56" i="2"/>
  <c r="E63" i="2"/>
  <c r="B68" i="2"/>
  <c r="F70" i="2"/>
  <c r="B74" i="2"/>
  <c r="F77" i="2"/>
  <c r="F80" i="2"/>
  <c r="B84" i="2"/>
  <c r="G87" i="2"/>
  <c r="D23" i="2"/>
  <c r="E40" i="2"/>
  <c r="G7" i="2"/>
  <c r="C11" i="2"/>
  <c r="H14" i="2"/>
  <c r="D18" i="2"/>
  <c r="I21" i="2"/>
  <c r="E25" i="2"/>
  <c r="B28" i="2"/>
  <c r="F30" i="2"/>
  <c r="B33" i="2"/>
  <c r="C35" i="2"/>
  <c r="G37" i="2"/>
  <c r="G39" i="2"/>
  <c r="E41" i="2"/>
  <c r="B43" i="2"/>
  <c r="G44" i="2"/>
  <c r="I45" i="2"/>
  <c r="E47" i="2"/>
  <c r="J48" i="2"/>
  <c r="B50" i="2"/>
  <c r="C51" i="2"/>
  <c r="F52" i="2"/>
  <c r="G53" i="2"/>
  <c r="H54" i="2"/>
  <c r="B56" i="2"/>
  <c r="C57" i="2"/>
  <c r="D58" i="2"/>
  <c r="G59" i="2"/>
  <c r="H60" i="2"/>
  <c r="I61" i="2"/>
  <c r="C63" i="2"/>
  <c r="D64" i="2"/>
  <c r="E65" i="2"/>
  <c r="H66" i="2"/>
  <c r="I67" i="2"/>
  <c r="J68" i="2"/>
  <c r="D70" i="2"/>
  <c r="E71" i="2"/>
  <c r="F72" i="2"/>
  <c r="I73" i="2"/>
  <c r="J74" i="2"/>
  <c r="B76" i="2"/>
  <c r="D77" i="2"/>
  <c r="D78" i="2"/>
  <c r="D79" i="2"/>
  <c r="D80" i="2"/>
  <c r="C81" i="2"/>
  <c r="B82" i="2"/>
  <c r="J82" i="2"/>
  <c r="I83" i="2"/>
  <c r="H84" i="2"/>
  <c r="G85" i="2"/>
  <c r="F86" i="2"/>
  <c r="E87" i="2"/>
  <c r="C8" i="2"/>
  <c r="H11" i="2"/>
  <c r="D15" i="2"/>
  <c r="I18" i="2"/>
  <c r="E22" i="2"/>
  <c r="J25" i="2"/>
  <c r="G28" i="2"/>
  <c r="H30" i="2"/>
  <c r="C33" i="2"/>
  <c r="H35" i="2"/>
  <c r="I37" i="2"/>
  <c r="C40" i="2"/>
  <c r="C43" i="2"/>
  <c r="H44" i="2"/>
  <c r="D46" i="2"/>
  <c r="F47" i="2"/>
  <c r="B49" i="2"/>
  <c r="C50" i="2"/>
  <c r="E51" i="2"/>
  <c r="G52" i="2"/>
  <c r="H53" i="2"/>
  <c r="J54" i="2"/>
  <c r="C56" i="2"/>
  <c r="D57" i="2"/>
  <c r="F58" i="2"/>
  <c r="H59" i="2"/>
  <c r="I60" i="2"/>
  <c r="B62" i="2"/>
  <c r="D63" i="2"/>
  <c r="I85" i="2"/>
  <c r="G12" i="2"/>
  <c r="B36" i="2"/>
  <c r="J41" i="2"/>
  <c r="E64" i="2"/>
  <c r="G65" i="2"/>
  <c r="I66" i="2"/>
  <c r="J67" i="2"/>
  <c r="C69" i="2"/>
  <c r="E70" i="2"/>
  <c r="F71" i="2"/>
  <c r="H72" i="2"/>
  <c r="J73" i="2"/>
  <c r="B75" i="2"/>
  <c r="D76" i="2"/>
  <c r="E77" i="2"/>
  <c r="E78" i="2"/>
  <c r="E79" i="2"/>
  <c r="E80" i="2"/>
  <c r="D81" i="2"/>
  <c r="C82" i="2"/>
  <c r="B83" i="2"/>
  <c r="G86" i="2"/>
  <c r="H58" i="2"/>
  <c r="J66" i="2"/>
  <c r="G71" i="2"/>
  <c r="C75" i="2"/>
  <c r="F78" i="2"/>
  <c r="E81" i="2"/>
  <c r="J84" i="2"/>
  <c r="B9" i="2"/>
  <c r="I26" i="2"/>
  <c r="J28" i="2"/>
  <c r="E31" i="2"/>
  <c r="J33" i="2"/>
  <c r="F38" i="2"/>
  <c r="F46" i="2"/>
  <c r="F8" i="2"/>
  <c r="B12" i="2"/>
  <c r="G15" i="2"/>
  <c r="C19" i="2"/>
  <c r="H22" i="2"/>
  <c r="D26" i="2"/>
  <c r="H28" i="2"/>
  <c r="D31" i="2"/>
  <c r="E33" i="2"/>
  <c r="I35" i="2"/>
  <c r="E38" i="2"/>
  <c r="D40" i="2"/>
  <c r="B42" i="2"/>
  <c r="G43" i="2"/>
  <c r="I44" i="2"/>
  <c r="E46" i="2"/>
  <c r="G47" i="2"/>
  <c r="C49" i="2"/>
  <c r="D50" i="2"/>
  <c r="G51" i="2"/>
  <c r="H52" i="2"/>
  <c r="I53" i="2"/>
  <c r="E57" i="2"/>
  <c r="I59" i="2"/>
  <c r="J60" i="2"/>
  <c r="D62" i="2"/>
  <c r="I65" i="2"/>
  <c r="J72" i="2"/>
  <c r="D82" i="2"/>
  <c r="H19" i="2"/>
  <c r="E9" i="2"/>
  <c r="G23" i="2"/>
  <c r="B34" i="2"/>
  <c r="D42" i="2"/>
  <c r="G46" i="2"/>
  <c r="F50" i="2"/>
  <c r="C53" i="2"/>
  <c r="F56" i="2"/>
  <c r="J59" i="2"/>
  <c r="G62" i="2"/>
  <c r="B66" i="2"/>
  <c r="F69" i="2"/>
  <c r="C72" i="2"/>
  <c r="G75" i="2"/>
  <c r="G78" i="2"/>
  <c r="I80" i="2"/>
  <c r="E83" i="2"/>
  <c r="J85" i="2"/>
  <c r="J87" i="2"/>
  <c r="J9" i="2"/>
  <c r="C24" i="2"/>
  <c r="D34" i="2"/>
  <c r="H42" i="2"/>
  <c r="H46" i="2"/>
  <c r="H50" i="2"/>
  <c r="B54" i="2"/>
  <c r="H56" i="2"/>
  <c r="B60" i="2"/>
  <c r="F63" i="2"/>
  <c r="C66" i="2"/>
  <c r="G69" i="2"/>
  <c r="B73" i="2"/>
  <c r="H75" i="2"/>
  <c r="H78" i="2"/>
  <c r="F81" i="2"/>
  <c r="F83" i="2"/>
  <c r="B86" i="2"/>
  <c r="I43" i="2"/>
  <c r="E54" i="2"/>
  <c r="I63" i="2"/>
  <c r="D73" i="2"/>
  <c r="G79" i="2"/>
  <c r="I86" i="2"/>
  <c r="H38" i="2"/>
  <c r="D48" i="2"/>
  <c r="D55" i="2"/>
  <c r="H64" i="2"/>
  <c r="I76" i="2"/>
  <c r="E84" i="2"/>
  <c r="G29" i="2"/>
  <c r="D49" i="2"/>
  <c r="E55" i="2"/>
  <c r="F61" i="2"/>
  <c r="D68" i="2"/>
  <c r="D74" i="2"/>
  <c r="F82" i="2"/>
  <c r="B87" i="2"/>
  <c r="G31" i="2"/>
  <c r="I52" i="2"/>
  <c r="E62" i="2"/>
  <c r="I71" i="2"/>
  <c r="G80" i="2"/>
  <c r="H87" i="2"/>
  <c r="B41" i="2"/>
  <c r="G49" i="2"/>
  <c r="B59" i="2"/>
  <c r="G68" i="2"/>
  <c r="I77" i="2"/>
  <c r="D83" i="2"/>
  <c r="J12" i="2"/>
  <c r="J26" i="2"/>
  <c r="G36" i="2"/>
  <c r="H43" i="2"/>
  <c r="B48" i="2"/>
  <c r="I50" i="2"/>
  <c r="D54" i="2"/>
  <c r="G57" i="2"/>
  <c r="D60" i="2"/>
  <c r="G63" i="2"/>
  <c r="B67" i="2"/>
  <c r="H69" i="2"/>
  <c r="C73" i="2"/>
  <c r="G76" i="2"/>
  <c r="J78" i="2"/>
  <c r="G81" i="2"/>
  <c r="C84" i="2"/>
  <c r="C86" i="2"/>
  <c r="C48" i="2"/>
  <c r="C61" i="2"/>
  <c r="G70" i="2"/>
  <c r="H81" i="2"/>
  <c r="F16" i="2"/>
  <c r="I51" i="2"/>
  <c r="E61" i="2"/>
  <c r="E67" i="2"/>
  <c r="C74" i="2"/>
  <c r="I79" i="2"/>
  <c r="J86" i="2"/>
  <c r="D39" i="2"/>
  <c r="J44" i="2"/>
  <c r="J79" i="2"/>
  <c r="F40" i="2"/>
  <c r="E49" i="2"/>
  <c r="J58" i="2"/>
  <c r="F68" i="2"/>
  <c r="H77" i="2"/>
  <c r="C85" i="2"/>
  <c r="C32" i="2"/>
  <c r="J52" i="2"/>
  <c r="F62" i="2"/>
  <c r="B72" i="2"/>
  <c r="H80" i="2"/>
  <c r="I87" i="2"/>
  <c r="F13" i="2"/>
  <c r="C27" i="2"/>
  <c r="H36" i="2"/>
  <c r="H51" i="2"/>
  <c r="I57" i="2"/>
  <c r="C67" i="2"/>
  <c r="H76" i="2"/>
  <c r="D84" i="2"/>
  <c r="F29" i="2"/>
  <c r="J43" i="2"/>
  <c r="J57" i="2"/>
  <c r="H70" i="2"/>
  <c r="E82" i="2"/>
  <c r="B17" i="2"/>
  <c r="J51" i="2"/>
  <c r="I58" i="2"/>
  <c r="J64" i="2"/>
  <c r="J70" i="2"/>
  <c r="G77" i="2"/>
  <c r="B85" i="2"/>
  <c r="B20" i="2"/>
  <c r="E45" i="2"/>
  <c r="F55" i="2"/>
  <c r="B65" i="2"/>
  <c r="F74" i="2"/>
  <c r="G82" i="2"/>
  <c r="G20" i="2"/>
  <c r="F45" i="2"/>
  <c r="E56" i="2"/>
  <c r="J65" i="2"/>
  <c r="E75" i="2"/>
  <c r="D85" i="2"/>
  <c r="G38" i="2"/>
  <c r="F31" i="2"/>
  <c r="E24" i="2"/>
  <c r="D17" i="2"/>
  <c r="C10" i="2"/>
  <c r="D24" i="2"/>
  <c r="C17" i="2"/>
  <c r="B10" i="2"/>
  <c r="F5" i="2"/>
  <c r="AD12" i="2" s="1"/>
  <c r="G35" i="2"/>
  <c r="F28" i="2"/>
  <c r="E21" i="2"/>
  <c r="D14" i="2"/>
  <c r="C7" i="2"/>
  <c r="J71" i="2"/>
  <c r="I64" i="2"/>
  <c r="H57" i="2"/>
  <c r="G50" i="2"/>
  <c r="F43" i="2"/>
  <c r="E36" i="2"/>
  <c r="D29" i="2"/>
  <c r="C22" i="2"/>
  <c r="B15" i="2"/>
  <c r="J7" i="2"/>
  <c r="C45" i="2"/>
  <c r="B38" i="2"/>
  <c r="J30" i="2"/>
  <c r="I23" i="2"/>
  <c r="H16" i="2"/>
  <c r="G9" i="2"/>
  <c r="J77" i="2"/>
  <c r="I70" i="2"/>
  <c r="H63" i="2"/>
  <c r="G56" i="2"/>
  <c r="F49" i="2"/>
  <c r="E42" i="2"/>
  <c r="D35" i="2"/>
  <c r="C28" i="2"/>
  <c r="B21" i="2"/>
  <c r="J13" i="2"/>
  <c r="I6" i="2"/>
  <c r="G27" i="2"/>
  <c r="B71" i="2"/>
  <c r="I56" i="2"/>
  <c r="H49" i="2"/>
  <c r="G42" i="2"/>
  <c r="E28" i="2"/>
  <c r="D21" i="2"/>
  <c r="C14" i="2"/>
  <c r="B7" i="2"/>
  <c r="C37" i="2"/>
  <c r="B30" i="2"/>
  <c r="J22" i="2"/>
  <c r="I15" i="2"/>
  <c r="H8" i="2"/>
  <c r="J69" i="2"/>
  <c r="I62" i="2"/>
  <c r="G48" i="2"/>
  <c r="F41" i="2"/>
  <c r="E34" i="2"/>
  <c r="D27" i="2"/>
  <c r="B13" i="2"/>
  <c r="J5" i="2"/>
  <c r="AD16" i="2" s="1"/>
  <c r="D11" i="2"/>
  <c r="D61" i="2"/>
  <c r="H25" i="2"/>
  <c r="F11" i="2"/>
  <c r="G41" i="2"/>
  <c r="D20" i="2"/>
  <c r="C13" i="2"/>
  <c r="E74" i="2"/>
  <c r="C60" i="2"/>
  <c r="I38" i="2"/>
  <c r="F17" i="2"/>
  <c r="J16" i="2"/>
  <c r="D53" i="2"/>
  <c r="J31" i="2"/>
  <c r="G10" i="2"/>
  <c r="G33" i="2"/>
  <c r="E19" i="2"/>
  <c r="F73" i="2"/>
  <c r="B45" i="2"/>
  <c r="H23" i="2"/>
  <c r="F9" i="2"/>
  <c r="B11" i="2"/>
  <c r="H37" i="2"/>
  <c r="G30" i="2"/>
  <c r="F23" i="2"/>
  <c r="E16" i="2"/>
  <c r="D9" i="2"/>
  <c r="E23" i="2"/>
  <c r="D16" i="2"/>
  <c r="C9" i="2"/>
  <c r="I41" i="2"/>
  <c r="H34" i="2"/>
  <c r="F20" i="2"/>
  <c r="E13" i="2"/>
  <c r="D6" i="2"/>
  <c r="J63" i="2"/>
  <c r="F35" i="2"/>
  <c r="D44" i="2"/>
  <c r="B77" i="2"/>
  <c r="H55" i="2"/>
  <c r="C20" i="2"/>
  <c r="J39" i="2"/>
  <c r="B53" i="2"/>
  <c r="B24" i="2"/>
  <c r="H40" i="2"/>
  <c r="C52" i="2"/>
  <c r="C25" i="2"/>
  <c r="I36" i="2"/>
  <c r="H29" i="2"/>
  <c r="G22" i="2"/>
  <c r="F15" i="2"/>
  <c r="E8" i="2"/>
  <c r="F22" i="2"/>
  <c r="E15" i="2"/>
  <c r="D8" i="2"/>
  <c r="J40" i="2"/>
  <c r="I33" i="2"/>
  <c r="H26" i="2"/>
  <c r="G19" i="2"/>
  <c r="F12" i="2"/>
  <c r="E5" i="2"/>
  <c r="AD11" i="2" s="1"/>
  <c r="C70" i="2"/>
  <c r="B63" i="2"/>
  <c r="J55" i="2"/>
  <c r="I48" i="2"/>
  <c r="H41" i="2"/>
  <c r="G34" i="2"/>
  <c r="F27" i="2"/>
  <c r="E20" i="2"/>
  <c r="D13" i="2"/>
  <c r="C6" i="2"/>
  <c r="E43" i="2"/>
  <c r="D36" i="2"/>
  <c r="C29" i="2"/>
  <c r="B22" i="2"/>
  <c r="J14" i="2"/>
  <c r="I7" i="2"/>
  <c r="C76" i="2"/>
  <c r="B69" i="2"/>
  <c r="J61" i="2"/>
  <c r="I54" i="2"/>
  <c r="H47" i="2"/>
  <c r="G40" i="2"/>
  <c r="F33" i="2"/>
  <c r="E26" i="2"/>
  <c r="D19" i="2"/>
  <c r="C12" i="2"/>
  <c r="J35" i="2"/>
  <c r="I28" i="2"/>
  <c r="H21" i="2"/>
  <c r="G14" i="2"/>
  <c r="F7" i="2"/>
  <c r="G21" i="2"/>
  <c r="F14" i="2"/>
  <c r="E7" i="2"/>
  <c r="B40" i="2"/>
  <c r="J32" i="2"/>
  <c r="I25" i="2"/>
  <c r="H18" i="2"/>
  <c r="G11" i="2"/>
  <c r="E76" i="2"/>
  <c r="D69" i="2"/>
  <c r="C62" i="2"/>
  <c r="B55" i="2"/>
  <c r="J47" i="2"/>
  <c r="I40" i="2"/>
  <c r="H33" i="2"/>
  <c r="G26" i="2"/>
  <c r="F19" i="2"/>
  <c r="E12" i="2"/>
  <c r="D5" i="2"/>
  <c r="AD10" i="2" s="1"/>
  <c r="F42" i="2"/>
  <c r="E35" i="2"/>
  <c r="D28" i="2"/>
  <c r="C21" i="2"/>
  <c r="B14" i="2"/>
  <c r="J6" i="2"/>
  <c r="D75" i="2"/>
  <c r="C68" i="2"/>
  <c r="B61" i="2"/>
  <c r="J53" i="2"/>
  <c r="I46" i="2"/>
  <c r="H39" i="2"/>
  <c r="G32" i="2"/>
  <c r="F25" i="2"/>
  <c r="E18" i="2"/>
  <c r="C54" i="2"/>
  <c r="G18" i="2"/>
  <c r="H48" i="2"/>
  <c r="E27" i="2"/>
  <c r="B6" i="2"/>
  <c r="D67" i="2"/>
  <c r="J45" i="2"/>
  <c r="G24" i="2"/>
  <c r="E10" i="2"/>
  <c r="I9" i="2"/>
  <c r="C46" i="2"/>
  <c r="I24" i="2"/>
  <c r="I47" i="2"/>
  <c r="F26" i="2"/>
  <c r="D12" i="2"/>
  <c r="E66" i="2"/>
  <c r="J37" i="2"/>
  <c r="G16" i="2"/>
  <c r="D25" i="2"/>
  <c r="J10" i="2"/>
  <c r="E29" i="2"/>
  <c r="B8" i="2"/>
  <c r="H65" i="2"/>
  <c r="B35" i="2"/>
  <c r="J27" i="2"/>
  <c r="I20" i="2"/>
  <c r="H13" i="2"/>
  <c r="G6" i="2"/>
  <c r="H20" i="2"/>
  <c r="G13" i="2"/>
  <c r="F6" i="2"/>
  <c r="C39" i="2"/>
  <c r="B32" i="2"/>
  <c r="J24" i="2"/>
  <c r="I17" i="2"/>
  <c r="H10" i="2"/>
  <c r="F75" i="2"/>
  <c r="E68" i="2"/>
  <c r="B47" i="2"/>
  <c r="I32" i="2"/>
  <c r="F34" i="2"/>
  <c r="H31" i="2"/>
  <c r="B39" i="2"/>
  <c r="C5" i="2"/>
  <c r="AD9" i="2" s="1"/>
  <c r="I30" i="2"/>
  <c r="C18" i="2"/>
  <c r="C34" i="2"/>
  <c r="B27" i="2"/>
  <c r="J19" i="2"/>
  <c r="I12" i="2"/>
  <c r="H5" i="2"/>
  <c r="AD14" i="2" s="1"/>
  <c r="I19" i="2"/>
  <c r="H12" i="2"/>
  <c r="G5" i="2"/>
  <c r="AD13" i="2" s="1"/>
  <c r="D38" i="2"/>
  <c r="C31" i="2"/>
  <c r="G74" i="2"/>
  <c r="F67" i="2"/>
  <c r="E60" i="2"/>
  <c r="H17" i="2"/>
  <c r="D59" i="2"/>
  <c r="D33" i="2"/>
  <c r="C26" i="2"/>
  <c r="B19" i="2"/>
  <c r="J11" i="2"/>
  <c r="B26" i="2"/>
  <c r="J18" i="2"/>
  <c r="I11" i="2"/>
  <c r="D7" i="2"/>
  <c r="E37" i="2"/>
  <c r="D30" i="2"/>
  <c r="C23" i="2"/>
  <c r="B16" i="2"/>
  <c r="J8" i="2"/>
  <c r="H73" i="2"/>
  <c r="G66" i="2"/>
  <c r="F59" i="2"/>
  <c r="E52" i="2"/>
  <c r="D45" i="2"/>
  <c r="C38" i="2"/>
  <c r="B31" i="2"/>
  <c r="J23" i="2"/>
  <c r="I16" i="2"/>
  <c r="H9" i="2"/>
  <c r="J46" i="2"/>
  <c r="I39" i="2"/>
  <c r="H32" i="2"/>
  <c r="G25" i="2"/>
  <c r="F18" i="2"/>
  <c r="E11" i="2"/>
  <c r="H79" i="2"/>
  <c r="G72" i="2"/>
  <c r="F65" i="2"/>
  <c r="E58" i="2"/>
  <c r="D51" i="2"/>
  <c r="C44" i="2"/>
  <c r="B37" i="2"/>
  <c r="J29" i="2"/>
  <c r="I22" i="2"/>
  <c r="H15" i="2"/>
  <c r="G8" i="2"/>
  <c r="E32" i="2"/>
  <c r="B18" i="2"/>
  <c r="F36" i="2"/>
  <c r="D22" i="2"/>
  <c r="I72" i="2"/>
  <c r="E6" i="2"/>
  <c r="J15" i="2"/>
  <c r="C15" i="2"/>
  <c r="I8" i="2"/>
  <c r="H71" i="2"/>
  <c r="I14" i="2"/>
  <c r="G64" i="2"/>
  <c r="H7" i="2"/>
  <c r="F51" i="2"/>
  <c r="J38" i="2"/>
  <c r="F57" i="2"/>
  <c r="G58" i="2"/>
  <c r="B46" i="2"/>
  <c r="E44" i="2"/>
  <c r="I31" i="2"/>
  <c r="E50" i="2"/>
  <c r="D37" i="2"/>
  <c r="H24" i="2"/>
  <c r="D43" i="2"/>
  <c r="C30" i="2"/>
  <c r="G17" i="2"/>
  <c r="C36" i="2"/>
  <c r="B23" i="2"/>
  <c r="F10" i="2"/>
  <c r="B29" i="2"/>
  <c r="I78" i="2"/>
  <c r="J21" i="2"/>
  <c r="S75" i="2" l="1"/>
  <c r="M11" i="2"/>
  <c r="M43" i="2"/>
  <c r="N42" i="2"/>
  <c r="N34" i="2"/>
  <c r="S45" i="2"/>
  <c r="R5" i="2"/>
  <c r="M50" i="2"/>
  <c r="M28" i="2"/>
  <c r="R86" i="2"/>
  <c r="M87" i="2"/>
  <c r="R29" i="2"/>
  <c r="N76" i="2"/>
  <c r="N80" i="2"/>
  <c r="M7" i="2"/>
  <c r="N10" i="2"/>
  <c r="N13" i="2"/>
  <c r="S82" i="2"/>
  <c r="M75" i="2"/>
  <c r="N60" i="2"/>
  <c r="R30" i="2"/>
  <c r="R7" i="2"/>
  <c r="M45" i="2"/>
  <c r="R68" i="2"/>
  <c r="R6" i="2"/>
  <c r="R25" i="2"/>
  <c r="R13" i="2"/>
  <c r="R28" i="2"/>
  <c r="N87" i="2"/>
  <c r="N64" i="2"/>
  <c r="M31" i="2"/>
  <c r="M79" i="2"/>
  <c r="S22" i="2"/>
  <c r="R44" i="2"/>
  <c r="M66" i="2"/>
  <c r="N49" i="2"/>
  <c r="R38" i="2"/>
  <c r="R70" i="2"/>
  <c r="M76" i="2"/>
  <c r="S83" i="2"/>
  <c r="R74" i="2"/>
  <c r="R37" i="2"/>
  <c r="N7" i="2"/>
  <c r="R62" i="2"/>
  <c r="M44" i="2"/>
  <c r="M37" i="2"/>
  <c r="M68" i="2"/>
  <c r="S7" i="2"/>
  <c r="S59" i="2"/>
  <c r="M15" i="2"/>
  <c r="S60" i="2"/>
  <c r="S68" i="2"/>
  <c r="M70" i="2"/>
  <c r="M29" i="2"/>
  <c r="S67" i="2"/>
  <c r="S54" i="2"/>
  <c r="M49" i="2"/>
  <c r="M20" i="2"/>
  <c r="R26" i="2"/>
  <c r="N73" i="2"/>
  <c r="M60" i="2"/>
  <c r="M54" i="2"/>
  <c r="R36" i="2"/>
  <c r="R23" i="2"/>
  <c r="R39" i="2"/>
  <c r="M12" i="2"/>
  <c r="S69" i="2"/>
  <c r="R76" i="2"/>
  <c r="S13" i="2"/>
  <c r="R52" i="2"/>
  <c r="S44" i="2"/>
  <c r="S20" i="2"/>
  <c r="S14" i="2"/>
  <c r="M56" i="2"/>
  <c r="M82" i="2"/>
  <c r="M61" i="2"/>
  <c r="R84" i="2"/>
  <c r="R66" i="2"/>
  <c r="R54" i="2"/>
  <c r="R53" i="2"/>
  <c r="S51" i="2"/>
  <c r="M32" i="2"/>
  <c r="S43" i="2"/>
  <c r="R21" i="2"/>
  <c r="R85" i="2"/>
  <c r="N81" i="2"/>
  <c r="R12" i="2"/>
  <c r="S30" i="2"/>
  <c r="S28" i="2"/>
  <c r="M10" i="2"/>
  <c r="S8" i="2"/>
  <c r="N71" i="2"/>
  <c r="S12" i="2"/>
  <c r="M52" i="2"/>
  <c r="N79" i="2"/>
  <c r="N48" i="2"/>
  <c r="R60" i="2"/>
  <c r="M84" i="2"/>
  <c r="N52" i="2"/>
  <c r="R9" i="2"/>
  <c r="N65" i="2"/>
  <c r="M26" i="2"/>
  <c r="S48" i="2"/>
  <c r="S33" i="2"/>
  <c r="N24" i="2"/>
  <c r="N9" i="2"/>
  <c r="M27" i="2"/>
  <c r="M6" i="2"/>
  <c r="R46" i="2"/>
  <c r="M35" i="2"/>
  <c r="S36" i="2"/>
  <c r="S85" i="2"/>
  <c r="S84" i="2"/>
  <c r="R61" i="2"/>
  <c r="S73" i="2"/>
  <c r="N75" i="2"/>
  <c r="N50" i="2"/>
  <c r="L26" i="2"/>
  <c r="V26" i="2"/>
  <c r="Q26" i="2"/>
  <c r="N31" i="2"/>
  <c r="Q61" i="2"/>
  <c r="L61" i="2"/>
  <c r="V61" i="2"/>
  <c r="V55" i="2"/>
  <c r="Q55" i="2"/>
  <c r="L55" i="2"/>
  <c r="V40" i="2"/>
  <c r="Q40" i="2"/>
  <c r="L40" i="2"/>
  <c r="N55" i="2"/>
  <c r="M74" i="2"/>
  <c r="N8" i="2"/>
  <c r="Q21" i="2"/>
  <c r="L21" i="2"/>
  <c r="V21" i="2"/>
  <c r="Q15" i="2"/>
  <c r="L15" i="2"/>
  <c r="V15" i="2"/>
  <c r="R17" i="2"/>
  <c r="R48" i="2"/>
  <c r="L67" i="2"/>
  <c r="V67" i="2"/>
  <c r="Q67" i="2"/>
  <c r="L41" i="2"/>
  <c r="V41" i="2"/>
  <c r="Q41" i="2"/>
  <c r="L73" i="2"/>
  <c r="V73" i="2"/>
  <c r="Q73" i="2"/>
  <c r="N46" i="2"/>
  <c r="N19" i="2"/>
  <c r="S26" i="2"/>
  <c r="R75" i="2"/>
  <c r="M80" i="2"/>
  <c r="Q36" i="2"/>
  <c r="L36" i="2"/>
  <c r="V36" i="2"/>
  <c r="S57" i="2"/>
  <c r="N30" i="2"/>
  <c r="S80" i="2"/>
  <c r="M71" i="2"/>
  <c r="M41" i="2"/>
  <c r="Q84" i="2"/>
  <c r="L84" i="2"/>
  <c r="V84" i="2"/>
  <c r="L57" i="2"/>
  <c r="V57" i="2"/>
  <c r="Q57" i="2"/>
  <c r="S47" i="2"/>
  <c r="N6" i="2"/>
  <c r="R80" i="2"/>
  <c r="M73" i="2"/>
  <c r="V64" i="2"/>
  <c r="Q64" i="2"/>
  <c r="L64" i="2"/>
  <c r="Q44" i="2"/>
  <c r="L44" i="2"/>
  <c r="V44" i="2"/>
  <c r="N27" i="2"/>
  <c r="V23" i="2"/>
  <c r="Q23" i="2"/>
  <c r="L23" i="2"/>
  <c r="Q37" i="2"/>
  <c r="L37" i="2"/>
  <c r="V37" i="2"/>
  <c r="V31" i="2"/>
  <c r="Q31" i="2"/>
  <c r="L31" i="2"/>
  <c r="V16" i="2"/>
  <c r="Q16" i="2"/>
  <c r="L16" i="2"/>
  <c r="V32" i="2"/>
  <c r="Q32" i="2"/>
  <c r="L32" i="2"/>
  <c r="Q69" i="2"/>
  <c r="L69" i="2"/>
  <c r="V69" i="2"/>
  <c r="V63" i="2"/>
  <c r="Q63" i="2"/>
  <c r="L63" i="2"/>
  <c r="Q77" i="2"/>
  <c r="L77" i="2"/>
  <c r="V77" i="2"/>
  <c r="N37" i="2"/>
  <c r="L13" i="2"/>
  <c r="V13" i="2"/>
  <c r="Q13" i="2"/>
  <c r="R22" i="2"/>
  <c r="S24" i="2"/>
  <c r="V17" i="2"/>
  <c r="Q17" i="2"/>
  <c r="L17" i="2"/>
  <c r="R67" i="2"/>
  <c r="V72" i="2"/>
  <c r="Q72" i="2"/>
  <c r="L72" i="2"/>
  <c r="M67" i="2"/>
  <c r="S74" i="2"/>
  <c r="L42" i="2"/>
  <c r="V42" i="2"/>
  <c r="Q42" i="2"/>
  <c r="N22" i="2"/>
  <c r="R56" i="2"/>
  <c r="S46" i="2"/>
  <c r="S79" i="2"/>
  <c r="S70" i="2"/>
  <c r="R51" i="2"/>
  <c r="S18" i="2"/>
  <c r="S71" i="2"/>
  <c r="N45" i="2"/>
  <c r="M30" i="2"/>
  <c r="R42" i="2"/>
  <c r="R55" i="2"/>
  <c r="R78" i="2"/>
  <c r="M59" i="2"/>
  <c r="S72" i="2"/>
  <c r="N62" i="2"/>
  <c r="M53" i="2"/>
  <c r="R31" i="2"/>
  <c r="L27" i="2"/>
  <c r="V27" i="2"/>
  <c r="Q27" i="2"/>
  <c r="L35" i="2"/>
  <c r="V35" i="2"/>
  <c r="Q35" i="2"/>
  <c r="M18" i="2"/>
  <c r="S19" i="2"/>
  <c r="L11" i="2"/>
  <c r="V11" i="2"/>
  <c r="Q11" i="2"/>
  <c r="S27" i="2"/>
  <c r="S35" i="2"/>
  <c r="N16" i="2"/>
  <c r="S29" i="2"/>
  <c r="R10" i="2"/>
  <c r="Q20" i="2"/>
  <c r="L20" i="2"/>
  <c r="V20" i="2"/>
  <c r="S55" i="2"/>
  <c r="S34" i="2"/>
  <c r="S40" i="2"/>
  <c r="R19" i="2"/>
  <c r="M78" i="2"/>
  <c r="R69" i="2"/>
  <c r="N44" i="2"/>
  <c r="S78" i="2"/>
  <c r="L50" i="2"/>
  <c r="V50" i="2"/>
  <c r="Q50" i="2"/>
  <c r="N14" i="2"/>
  <c r="S87" i="2"/>
  <c r="R16" i="2"/>
  <c r="N85" i="2"/>
  <c r="R87" i="2"/>
  <c r="V80" i="2"/>
  <c r="Q80" i="2"/>
  <c r="L80" i="2"/>
  <c r="R71" i="2"/>
  <c r="Q52" i="2"/>
  <c r="L52" i="2"/>
  <c r="V52" i="2"/>
  <c r="R41" i="2"/>
  <c r="Q46" i="2"/>
  <c r="L46" i="2"/>
  <c r="V46" i="2"/>
  <c r="L18" i="2"/>
  <c r="V18" i="2"/>
  <c r="Q18" i="2"/>
  <c r="N32" i="2"/>
  <c r="S38" i="2"/>
  <c r="R34" i="2"/>
  <c r="V47" i="2"/>
  <c r="Q47" i="2"/>
  <c r="L47" i="2"/>
  <c r="N40" i="2"/>
  <c r="S16" i="2"/>
  <c r="S53" i="2"/>
  <c r="M34" i="2"/>
  <c r="Q30" i="2"/>
  <c r="L30" i="2"/>
  <c r="V30" i="2"/>
  <c r="M42" i="2"/>
  <c r="M36" i="2"/>
  <c r="M21" i="2"/>
  <c r="S17" i="2"/>
  <c r="Q85" i="2"/>
  <c r="L85" i="2"/>
  <c r="V85" i="2"/>
  <c r="N70" i="2"/>
  <c r="N51" i="2"/>
  <c r="Q86" i="2"/>
  <c r="L86" i="2"/>
  <c r="V86" i="2"/>
  <c r="R24" i="2"/>
  <c r="R72" i="2"/>
  <c r="S50" i="2"/>
  <c r="M38" i="2"/>
  <c r="N58" i="2"/>
  <c r="M77" i="2"/>
  <c r="S63" i="2"/>
  <c r="N53" i="2"/>
  <c r="R43" i="2"/>
  <c r="M22" i="2"/>
  <c r="N84" i="2"/>
  <c r="S77" i="2"/>
  <c r="S58" i="2"/>
  <c r="R35" i="2"/>
  <c r="R11" i="2"/>
  <c r="L74" i="2"/>
  <c r="V74" i="2"/>
  <c r="Q74" i="2"/>
  <c r="L25" i="2"/>
  <c r="V25" i="2"/>
  <c r="Q25" i="2"/>
  <c r="N86" i="2"/>
  <c r="S86" i="2"/>
  <c r="V79" i="2"/>
  <c r="Q79" i="2"/>
  <c r="L79" i="2"/>
  <c r="M39" i="2"/>
  <c r="M17" i="2"/>
  <c r="M58" i="2"/>
  <c r="R18" i="2"/>
  <c r="Q8" i="2"/>
  <c r="L8" i="2"/>
  <c r="V8" i="2"/>
  <c r="Q14" i="2"/>
  <c r="L14" i="2"/>
  <c r="V14" i="2"/>
  <c r="M8" i="2"/>
  <c r="V24" i="2"/>
  <c r="Q24" i="2"/>
  <c r="L24" i="2"/>
  <c r="M23" i="2"/>
  <c r="N23" i="2"/>
  <c r="V71" i="2"/>
  <c r="Q71" i="2"/>
  <c r="L71" i="2"/>
  <c r="M24" i="2"/>
  <c r="N36" i="2"/>
  <c r="R32" i="2"/>
  <c r="M62" i="2"/>
  <c r="M55" i="2"/>
  <c r="N38" i="2"/>
  <c r="Q60" i="2"/>
  <c r="L60" i="2"/>
  <c r="V60" i="2"/>
  <c r="S42" i="2"/>
  <c r="S62" i="2"/>
  <c r="R49" i="2"/>
  <c r="L12" i="2"/>
  <c r="V12" i="2"/>
  <c r="Q12" i="2"/>
  <c r="V9" i="2"/>
  <c r="Q9" i="2"/>
  <c r="L9" i="2"/>
  <c r="S76" i="2"/>
  <c r="Q62" i="2"/>
  <c r="L62" i="2"/>
  <c r="V62" i="2"/>
  <c r="R40" i="2"/>
  <c r="Q76" i="2"/>
  <c r="L76" i="2"/>
  <c r="V76" i="2"/>
  <c r="N66" i="2"/>
  <c r="R57" i="2"/>
  <c r="M47" i="2"/>
  <c r="L33" i="2"/>
  <c r="V33" i="2"/>
  <c r="Q33" i="2"/>
  <c r="N83" i="2"/>
  <c r="R64" i="2"/>
  <c r="S52" i="2"/>
  <c r="S41" i="2"/>
  <c r="R83" i="2"/>
  <c r="M86" i="2"/>
  <c r="M72" i="2"/>
  <c r="M85" i="2"/>
  <c r="Q78" i="2"/>
  <c r="L78" i="2"/>
  <c r="V78" i="2"/>
  <c r="N68" i="2"/>
  <c r="R59" i="2"/>
  <c r="L19" i="2"/>
  <c r="V19" i="2"/>
  <c r="Q19" i="2"/>
  <c r="R15" i="2"/>
  <c r="N12" i="2"/>
  <c r="N20" i="2"/>
  <c r="Q6" i="2"/>
  <c r="L6" i="2"/>
  <c r="V6" i="2"/>
  <c r="N39" i="2"/>
  <c r="N33" i="2"/>
  <c r="N18" i="2"/>
  <c r="Q22" i="2"/>
  <c r="L22" i="2"/>
  <c r="V22" i="2"/>
  <c r="Q53" i="2"/>
  <c r="L53" i="2"/>
  <c r="V53" i="2"/>
  <c r="S6" i="2"/>
  <c r="S9" i="2"/>
  <c r="Q45" i="2"/>
  <c r="L45" i="2"/>
  <c r="V45" i="2"/>
  <c r="N25" i="2"/>
  <c r="Q7" i="2"/>
  <c r="V7" i="2"/>
  <c r="L7" i="2"/>
  <c r="Q38" i="2"/>
  <c r="L38" i="2"/>
  <c r="V38" i="2"/>
  <c r="R27" i="2"/>
  <c r="S39" i="2"/>
  <c r="S49" i="2"/>
  <c r="N56" i="2"/>
  <c r="L66" i="2"/>
  <c r="V66" i="2"/>
  <c r="Q66" i="2"/>
  <c r="L34" i="2"/>
  <c r="V34" i="2"/>
  <c r="Q34" i="2"/>
  <c r="M33" i="2"/>
  <c r="L83" i="2"/>
  <c r="V83" i="2"/>
  <c r="Q83" i="2"/>
  <c r="L75" i="2"/>
  <c r="V75" i="2"/>
  <c r="Q75" i="2"/>
  <c r="M51" i="2"/>
  <c r="S15" i="2"/>
  <c r="M65" i="2"/>
  <c r="V56" i="2"/>
  <c r="Q56" i="2"/>
  <c r="L56" i="2"/>
  <c r="M40" i="2"/>
  <c r="Q68" i="2"/>
  <c r="L68" i="2"/>
  <c r="V68" i="2"/>
  <c r="N61" i="2"/>
  <c r="L51" i="2"/>
  <c r="V51" i="2"/>
  <c r="Q51" i="2"/>
  <c r="Q70" i="2"/>
  <c r="L70" i="2"/>
  <c r="V70" i="2"/>
  <c r="L58" i="2"/>
  <c r="V58" i="2"/>
  <c r="Q58" i="2"/>
  <c r="M48" i="2"/>
  <c r="S10" i="2"/>
  <c r="N15" i="2"/>
  <c r="N17" i="2"/>
  <c r="N21" i="2"/>
  <c r="N47" i="2"/>
  <c r="N41" i="2"/>
  <c r="N26" i="2"/>
  <c r="M13" i="2"/>
  <c r="M16" i="2"/>
  <c r="S61" i="2"/>
  <c r="R14" i="2"/>
  <c r="N63" i="2"/>
  <c r="R45" i="2"/>
  <c r="N57" i="2"/>
  <c r="N77" i="2"/>
  <c r="R73" i="2"/>
  <c r="V48" i="2"/>
  <c r="Q48" i="2"/>
  <c r="L48" i="2"/>
  <c r="L59" i="2"/>
  <c r="V59" i="2"/>
  <c r="Q59" i="2"/>
  <c r="N78" i="2"/>
  <c r="Q54" i="2"/>
  <c r="L54" i="2"/>
  <c r="V54" i="2"/>
  <c r="M46" i="2"/>
  <c r="S31" i="2"/>
  <c r="M81" i="2"/>
  <c r="R82" i="2"/>
  <c r="M64" i="2"/>
  <c r="N59" i="2"/>
  <c r="R50" i="2"/>
  <c r="N35" i="2"/>
  <c r="N11" i="2"/>
  <c r="L82" i="2"/>
  <c r="V82" i="2"/>
  <c r="Q82" i="2"/>
  <c r="S64" i="2"/>
  <c r="N54" i="2"/>
  <c r="Q28" i="2"/>
  <c r="L28" i="2"/>
  <c r="V28" i="2"/>
  <c r="S23" i="2"/>
  <c r="M63" i="2"/>
  <c r="R79" i="2"/>
  <c r="M14" i="2"/>
  <c r="N67" i="2"/>
  <c r="S66" i="2"/>
  <c r="R47" i="2"/>
  <c r="S32" i="2"/>
  <c r="Q29" i="2"/>
  <c r="L29" i="2"/>
  <c r="V29" i="2"/>
  <c r="S37" i="2"/>
  <c r="V39" i="2"/>
  <c r="Q39" i="2"/>
  <c r="L39" i="2"/>
  <c r="S25" i="2"/>
  <c r="N29" i="2"/>
  <c r="R20" i="2"/>
  <c r="M19" i="2"/>
  <c r="S11" i="2"/>
  <c r="S21" i="2"/>
  <c r="V10" i="2"/>
  <c r="Q10" i="2"/>
  <c r="L10" i="2"/>
  <c r="L65" i="2"/>
  <c r="V65" i="2"/>
  <c r="Q65" i="2"/>
  <c r="N69" i="2"/>
  <c r="N43" i="2"/>
  <c r="V87" i="2"/>
  <c r="Q87" i="2"/>
  <c r="L87" i="2"/>
  <c r="M83" i="2"/>
  <c r="M9" i="2"/>
  <c r="M57" i="2"/>
  <c r="N28" i="2"/>
  <c r="S81" i="2"/>
  <c r="N72" i="2"/>
  <c r="L49" i="2"/>
  <c r="V49" i="2"/>
  <c r="Q49" i="2"/>
  <c r="R33" i="2"/>
  <c r="R8" i="2"/>
  <c r="R81" i="2"/>
  <c r="R63" i="2"/>
  <c r="L43" i="2"/>
  <c r="V43" i="2"/>
  <c r="Q43" i="2"/>
  <c r="M25" i="2"/>
  <c r="S56" i="2"/>
  <c r="R77" i="2"/>
  <c r="R58" i="2"/>
  <c r="M69" i="2"/>
  <c r="L81" i="2"/>
  <c r="V81" i="2"/>
  <c r="Q81" i="2"/>
  <c r="S65" i="2"/>
  <c r="N82" i="2"/>
  <c r="N74" i="2"/>
  <c r="R65" i="2"/>
  <c r="V5" i="2"/>
  <c r="S5" i="2"/>
  <c r="M5" i="2"/>
  <c r="N5" i="2"/>
  <c r="L5" i="2"/>
  <c r="Q5" i="2"/>
  <c r="T13" i="2" l="1"/>
  <c r="T43" i="2"/>
  <c r="T22" i="2"/>
  <c r="T54" i="2"/>
  <c r="AD19" i="2"/>
  <c r="AE21" i="2" s="1"/>
  <c r="T38" i="2"/>
  <c r="T78" i="2"/>
  <c r="O60" i="2"/>
  <c r="O87" i="2"/>
  <c r="O7" i="2"/>
  <c r="T83" i="2"/>
  <c r="T60" i="2"/>
  <c r="O49" i="2"/>
  <c r="O71" i="2"/>
  <c r="O76" i="2"/>
  <c r="O6" i="2"/>
  <c r="T59" i="2"/>
  <c r="T75" i="2"/>
  <c r="T28" i="2"/>
  <c r="O75" i="2"/>
  <c r="O80" i="2"/>
  <c r="O66" i="2"/>
  <c r="T76" i="2"/>
  <c r="T51" i="2"/>
  <c r="T80" i="2"/>
  <c r="T62" i="2"/>
  <c r="O58" i="2"/>
  <c r="T29" i="2"/>
  <c r="T34" i="2"/>
  <c r="O79" i="2"/>
  <c r="T30" i="2"/>
  <c r="T46" i="2"/>
  <c r="O50" i="2"/>
  <c r="T84" i="2"/>
  <c r="T71" i="2"/>
  <c r="T7" i="2"/>
  <c r="T5" i="2"/>
  <c r="O53" i="2"/>
  <c r="O10" i="2"/>
  <c r="O70" i="2"/>
  <c r="T68" i="2"/>
  <c r="T48" i="2"/>
  <c r="T70" i="2"/>
  <c r="T12" i="2"/>
  <c r="O31" i="2"/>
  <c r="O51" i="2"/>
  <c r="T19" i="2"/>
  <c r="O83" i="2"/>
  <c r="T85" i="2"/>
  <c r="T10" i="2"/>
  <c r="T87" i="2"/>
  <c r="O30" i="2"/>
  <c r="O34" i="2"/>
  <c r="O45" i="2"/>
  <c r="O22" i="2"/>
  <c r="T82" i="2"/>
  <c r="T49" i="2"/>
  <c r="O68" i="2"/>
  <c r="T53" i="2"/>
  <c r="O62" i="2"/>
  <c r="T74" i="2"/>
  <c r="T36" i="2"/>
  <c r="T65" i="2"/>
  <c r="O52" i="2"/>
  <c r="T35" i="2"/>
  <c r="O29" i="2"/>
  <c r="T81" i="2"/>
  <c r="O48" i="2"/>
  <c r="O24" i="2"/>
  <c r="O81" i="2"/>
  <c r="O43" i="2"/>
  <c r="T39" i="2"/>
  <c r="O54" i="2"/>
  <c r="O38" i="2"/>
  <c r="T24" i="2"/>
  <c r="O27" i="2"/>
  <c r="T44" i="2"/>
  <c r="T56" i="2"/>
  <c r="T9" i="2"/>
  <c r="T86" i="2"/>
  <c r="T52" i="2"/>
  <c r="T72" i="2"/>
  <c r="T63" i="2"/>
  <c r="O16" i="2"/>
  <c r="T37" i="2"/>
  <c r="O64" i="2"/>
  <c r="T67" i="2"/>
  <c r="T26" i="2"/>
  <c r="T58" i="2"/>
  <c r="T33" i="2"/>
  <c r="T25" i="2"/>
  <c r="O47" i="2"/>
  <c r="O18" i="2"/>
  <c r="T16" i="2"/>
  <c r="O23" i="2"/>
  <c r="T64" i="2"/>
  <c r="O57" i="2"/>
  <c r="O21" i="2"/>
  <c r="O55" i="2"/>
  <c r="T47" i="2"/>
  <c r="T50" i="2"/>
  <c r="T42" i="2"/>
  <c r="O13" i="2"/>
  <c r="T23" i="2"/>
  <c r="T73" i="2"/>
  <c r="O67" i="2"/>
  <c r="T21" i="2"/>
  <c r="T55" i="2"/>
  <c r="O26" i="2"/>
  <c r="O19" i="2"/>
  <c r="O33" i="2"/>
  <c r="O14" i="2"/>
  <c r="O25" i="2"/>
  <c r="O46" i="2"/>
  <c r="O17" i="2"/>
  <c r="O69" i="2"/>
  <c r="O84" i="2"/>
  <c r="O36" i="2"/>
  <c r="O5" i="2"/>
  <c r="O65" i="2"/>
  <c r="O82" i="2"/>
  <c r="O59" i="2"/>
  <c r="O12" i="2"/>
  <c r="T14" i="2"/>
  <c r="O85" i="2"/>
  <c r="O35" i="2"/>
  <c r="O42" i="2"/>
  <c r="T17" i="2"/>
  <c r="T69" i="2"/>
  <c r="T31" i="2"/>
  <c r="O73" i="2"/>
  <c r="T6" i="2"/>
  <c r="T79" i="2"/>
  <c r="T11" i="2"/>
  <c r="T27" i="2"/>
  <c r="O77" i="2"/>
  <c r="O32" i="2"/>
  <c r="T41" i="2"/>
  <c r="O61" i="2"/>
  <c r="O39" i="2"/>
  <c r="O28" i="2"/>
  <c r="O8" i="2"/>
  <c r="O74" i="2"/>
  <c r="O20" i="2"/>
  <c r="T77" i="2"/>
  <c r="T32" i="2"/>
  <c r="O44" i="2"/>
  <c r="O15" i="2"/>
  <c r="O40" i="2"/>
  <c r="T61" i="2"/>
  <c r="O56" i="2"/>
  <c r="T66" i="2"/>
  <c r="T45" i="2"/>
  <c r="O78" i="2"/>
  <c r="O9" i="2"/>
  <c r="T8" i="2"/>
  <c r="O86" i="2"/>
  <c r="T18" i="2"/>
  <c r="T20" i="2"/>
  <c r="O11" i="2"/>
  <c r="O72" i="2"/>
  <c r="O63" i="2"/>
  <c r="O37" i="2"/>
  <c r="T57" i="2"/>
  <c r="O41" i="2"/>
  <c r="T15" i="2"/>
  <c r="T40" i="2"/>
  <c r="X36" i="2" l="1"/>
  <c r="X74" i="2"/>
  <c r="X14" i="2"/>
  <c r="X83" i="2"/>
  <c r="X22" i="2"/>
  <c r="X60" i="2"/>
  <c r="X34" i="2"/>
  <c r="X70" i="2"/>
  <c r="X28" i="2"/>
  <c r="X5" i="2"/>
  <c r="X43" i="2"/>
  <c r="X12" i="2"/>
  <c r="X63" i="2"/>
  <c r="X13" i="2"/>
  <c r="X85" i="2"/>
  <c r="X87" i="2"/>
  <c r="X59" i="2"/>
  <c r="X68" i="2"/>
  <c r="X11" i="2"/>
  <c r="X52" i="2"/>
  <c r="X35" i="2"/>
  <c r="X37" i="2"/>
  <c r="X44" i="2"/>
  <c r="X29" i="2"/>
  <c r="X54" i="2"/>
  <c r="X56" i="2"/>
  <c r="X42" i="2"/>
  <c r="X79" i="2"/>
  <c r="X62" i="2"/>
  <c r="X38" i="2"/>
  <c r="X78" i="2"/>
  <c r="X65" i="2"/>
  <c r="X33" i="2"/>
  <c r="X84" i="2"/>
  <c r="X73" i="2"/>
  <c r="X77" i="2"/>
  <c r="X10" i="2"/>
  <c r="X19" i="2"/>
  <c r="X41" i="2"/>
  <c r="X48" i="2"/>
  <c r="X9" i="2"/>
  <c r="X8" i="2"/>
  <c r="X67" i="2"/>
  <c r="X55" i="2"/>
  <c r="X23" i="2"/>
  <c r="X64" i="2"/>
  <c r="X81" i="2"/>
  <c r="X51" i="2"/>
  <c r="X80" i="2"/>
  <c r="X86" i="2"/>
  <c r="X39" i="2"/>
  <c r="X6" i="2"/>
  <c r="X69" i="2"/>
  <c r="X46" i="2"/>
  <c r="X21" i="2"/>
  <c r="X26" i="2"/>
  <c r="X24" i="2"/>
  <c r="X72" i="2"/>
  <c r="X82" i="2"/>
  <c r="X20" i="2"/>
  <c r="X76" i="2"/>
  <c r="X45" i="2"/>
  <c r="X53" i="2"/>
  <c r="X66" i="2"/>
  <c r="X71" i="2"/>
  <c r="X18" i="2"/>
  <c r="X31" i="2"/>
  <c r="X49" i="2"/>
  <c r="X40" i="2"/>
  <c r="X15" i="2"/>
  <c r="X47" i="2"/>
  <c r="X16" i="2"/>
  <c r="X27" i="2"/>
  <c r="X30" i="2"/>
  <c r="X75" i="2"/>
  <c r="X61" i="2"/>
  <c r="X17" i="2"/>
  <c r="X58" i="2"/>
  <c r="X7" i="2"/>
  <c r="X32" i="2"/>
  <c r="X25" i="2"/>
  <c r="X57" i="2"/>
  <c r="X50" i="2"/>
  <c r="Z5" i="2" l="1" a="1"/>
  <c r="AA5" i="2" s="1"/>
  <c r="Z39" i="2" l="1"/>
  <c r="AA32" i="2"/>
  <c r="AA35" i="2"/>
  <c r="AA11" i="2"/>
  <c r="AA22" i="2"/>
  <c r="Z22" i="2"/>
  <c r="Z64" i="2"/>
  <c r="Z23" i="2"/>
  <c r="Z17" i="2"/>
  <c r="AA21" i="2"/>
  <c r="AA37" i="2"/>
  <c r="Z56" i="2"/>
  <c r="Z31" i="2"/>
  <c r="AA20" i="2"/>
  <c r="AA44" i="2"/>
  <c r="Z8" i="2"/>
  <c r="AA8" i="2"/>
  <c r="AA7" i="2"/>
  <c r="AA49" i="2"/>
  <c r="Z20" i="2"/>
  <c r="AA56" i="2"/>
  <c r="Z55" i="2"/>
  <c r="AA30" i="2"/>
  <c r="AA9" i="2"/>
  <c r="AA39" i="2"/>
  <c r="Z6" i="2"/>
  <c r="AA48" i="2"/>
  <c r="AA52" i="2"/>
  <c r="AA17" i="2"/>
  <c r="Z50" i="2"/>
  <c r="AA63" i="2"/>
  <c r="Z14" i="2"/>
  <c r="Z16" i="2"/>
  <c r="Z36" i="2"/>
  <c r="AA53" i="2"/>
  <c r="AA65" i="2"/>
  <c r="AA14" i="2"/>
  <c r="AA57" i="2"/>
  <c r="Z65" i="2"/>
  <c r="Z25" i="2"/>
  <c r="AA38" i="2"/>
  <c r="Z47" i="2"/>
  <c r="AA16" i="2"/>
  <c r="Z33" i="2"/>
  <c r="Z7" i="2"/>
  <c r="AA28" i="2"/>
  <c r="Z52" i="2"/>
  <c r="Z28" i="2"/>
  <c r="Z9" i="2"/>
  <c r="AA10" i="2"/>
  <c r="Z18" i="2"/>
  <c r="AA6" i="2"/>
  <c r="Z45" i="2"/>
  <c r="AA18" i="2"/>
  <c r="AA41" i="2"/>
  <c r="Z26" i="2"/>
  <c r="AA54" i="2"/>
  <c r="Z13" i="2"/>
  <c r="Z34" i="2"/>
  <c r="Z42" i="2"/>
  <c r="AA62" i="2"/>
  <c r="AA51" i="2"/>
  <c r="Z21" i="2"/>
  <c r="AA24" i="2"/>
  <c r="Z11" i="2"/>
  <c r="Z54" i="2"/>
  <c r="Z12" i="2"/>
  <c r="Z61" i="2"/>
  <c r="Z15" i="2"/>
  <c r="AA43" i="2"/>
  <c r="AA64" i="2"/>
  <c r="Z51" i="2"/>
  <c r="AA40" i="2"/>
  <c r="AA25" i="2"/>
  <c r="Z44" i="2"/>
  <c r="AA13" i="2"/>
  <c r="Z49" i="2"/>
  <c r="AA26" i="2"/>
  <c r="AA60" i="2"/>
  <c r="AA59" i="2"/>
  <c r="Z48" i="2"/>
  <c r="AA55" i="2"/>
  <c r="AA34" i="2"/>
  <c r="Z38" i="2"/>
  <c r="AA36" i="2"/>
  <c r="AA50" i="2"/>
  <c r="AA58" i="2"/>
  <c r="Z24" i="2"/>
  <c r="AA33" i="2"/>
  <c r="Z10" i="2"/>
  <c r="AA42" i="2"/>
  <c r="Z57" i="2"/>
  <c r="Z41" i="2"/>
  <c r="Z53" i="2"/>
  <c r="AA12" i="2"/>
  <c r="Z63" i="2"/>
  <c r="Z32" i="2"/>
  <c r="Z5" i="2"/>
  <c r="AA31" i="2"/>
  <c r="Z29" i="2"/>
  <c r="Z27" i="2"/>
  <c r="AA46" i="2"/>
  <c r="Z62" i="2"/>
  <c r="AA15" i="2"/>
  <c r="Z59" i="2"/>
  <c r="AA29" i="2"/>
  <c r="Z19" i="2"/>
  <c r="AA45" i="2"/>
  <c r="AA19" i="2"/>
  <c r="Z60" i="2"/>
  <c r="Z40" i="2"/>
  <c r="Z58" i="2"/>
  <c r="Z37" i="2"/>
  <c r="Z46" i="2"/>
  <c r="Z30" i="2"/>
  <c r="AA61" i="2"/>
  <c r="AA23" i="2"/>
  <c r="AA27" i="2"/>
  <c r="Z43" i="2"/>
  <c r="AA47" i="2"/>
  <c r="Z35" i="2"/>
  <c r="AB5" i="2" l="1" a="1"/>
  <c r="AB5" i="2" s="1"/>
  <c r="AB32" i="2" l="1"/>
  <c r="AB34" i="2"/>
  <c r="AB56" i="2"/>
  <c r="AB50" i="2"/>
  <c r="AB37" i="2"/>
  <c r="AB31" i="2"/>
  <c r="AB24" i="2"/>
  <c r="AB35" i="2"/>
  <c r="AB64" i="2"/>
  <c r="AB13" i="2"/>
  <c r="AB10" i="2"/>
  <c r="AB15" i="2"/>
  <c r="AB42" i="2"/>
  <c r="AB25" i="2"/>
  <c r="AB11" i="2"/>
  <c r="AB46" i="2"/>
  <c r="AB22" i="2"/>
  <c r="AB30" i="2"/>
  <c r="AB55" i="2"/>
  <c r="AB36" i="2"/>
  <c r="AB59" i="2"/>
  <c r="AB40" i="2"/>
  <c r="AB57" i="2"/>
  <c r="AB39" i="2"/>
  <c r="AB16" i="2"/>
  <c r="AB12" i="2"/>
  <c r="AB61" i="2"/>
  <c r="AB9" i="2"/>
  <c r="AB41" i="2"/>
  <c r="AB26" i="2"/>
  <c r="AB19" i="2"/>
  <c r="AB53" i="2"/>
  <c r="AB33" i="2"/>
  <c r="AB60" i="2"/>
  <c r="AB51" i="2"/>
  <c r="AB27" i="2"/>
  <c r="AB43" i="2"/>
  <c r="AB38" i="2"/>
  <c r="AB21" i="2"/>
  <c r="AB52" i="2"/>
  <c r="AB58" i="2"/>
  <c r="AB8" i="2"/>
  <c r="AB49" i="2"/>
  <c r="AB48" i="2"/>
  <c r="AB20" i="2"/>
  <c r="AB7" i="2"/>
  <c r="AB44" i="2"/>
  <c r="AB63" i="2"/>
  <c r="AB29" i="2"/>
  <c r="AB14" i="2"/>
  <c r="AB65" i="2"/>
  <c r="AB62" i="2"/>
  <c r="AB28" i="2"/>
  <c r="AB47" i="2"/>
  <c r="AB17" i="2"/>
  <c r="AB6" i="2"/>
  <c r="AB18" i="2"/>
  <c r="AB23" i="2"/>
  <c r="AB45" i="2"/>
  <c r="AB54" i="2"/>
</calcChain>
</file>

<file path=xl/sharedStrings.xml><?xml version="1.0" encoding="utf-8"?>
<sst xmlns="http://schemas.openxmlformats.org/spreadsheetml/2006/main" count="133" uniqueCount="92">
  <si>
    <t>obj</t>
  </si>
  <si>
    <t>srs</t>
  </si>
  <si>
    <t>new</t>
  </si>
  <si>
    <t>.</t>
  </si>
  <si>
    <t>cur</t>
  </si>
  <si>
    <t>iterations per step</t>
  </si>
  <si>
    <t>https://www.coursera.org/lecture/wharton-operations-analytics/network-optimization-example-3awtd</t>
  </si>
  <si>
    <t>LD</t>
  </si>
  <si>
    <t>LA</t>
  </si>
  <si>
    <t>LW</t>
  </si>
  <si>
    <t>CD</t>
  </si>
  <si>
    <t>CA</t>
  </si>
  <si>
    <t>CW</t>
  </si>
  <si>
    <t>ND</t>
  </si>
  <si>
    <t>NA</t>
  </si>
  <si>
    <t>NW</t>
  </si>
  <si>
    <t>costs</t>
  </si>
  <si>
    <t>D</t>
  </si>
  <si>
    <t>A</t>
  </si>
  <si>
    <t>W</t>
  </si>
  <si>
    <t>L</t>
  </si>
  <si>
    <t>C</t>
  </si>
  <si>
    <t>N</t>
  </si>
  <si>
    <t>exact supply amounts</t>
  </si>
  <si>
    <t>supply</t>
  </si>
  <si>
    <t xml:space="preserve">D </t>
  </si>
  <si>
    <t>f0,1,20</t>
  </si>
  <si>
    <t>f0,1,30</t>
  </si>
  <si>
    <t>f0,1,15</t>
  </si>
  <si>
    <t>cost</t>
  </si>
  <si>
    <t>Ideal Soln</t>
  </si>
  <si>
    <t>Ideal Cost</t>
  </si>
  <si>
    <t>delivery</t>
  </si>
  <si>
    <t>delivery mins</t>
  </si>
  <si>
    <t>err</t>
  </si>
  <si>
    <t>current soln</t>
  </si>
  <si>
    <t>current cost</t>
  </si>
  <si>
    <t>loss from ideal</t>
  </si>
  <si>
    <t>u4DnPwE=</t>
  </si>
  <si>
    <t>0gsQokc=</t>
  </si>
  <si>
    <t>jGx/VAE=</t>
  </si>
  <si>
    <t>0gsAAPU=</t>
  </si>
  <si>
    <t>0guQOAE=</t>
  </si>
  <si>
    <t>0guQALg=</t>
  </si>
  <si>
    <t>0gsAALg=</t>
  </si>
  <si>
    <t>0guQAPg=</t>
  </si>
  <si>
    <t>0gOQALg=</t>
  </si>
  <si>
    <t>AwuQALg=</t>
  </si>
  <si>
    <t>0guQAME=</t>
  </si>
  <si>
    <t>0guQQAA=</t>
  </si>
  <si>
    <t>0gs4Abg=</t>
  </si>
  <si>
    <t>0guQALk=</t>
  </si>
  <si>
    <t>AAuQALk=</t>
  </si>
  <si>
    <t>AguQALk=</t>
  </si>
  <si>
    <t>Ep/zDDk=</t>
  </si>
  <si>
    <t>0g+QALk=</t>
  </si>
  <si>
    <t>AwuQALk=</t>
  </si>
  <si>
    <t>XtdSEbg=</t>
  </si>
  <si>
    <t>0gEfokc=</t>
  </si>
  <si>
    <t>0guQAHE=</t>
  </si>
  <si>
    <t>bJ8DALk=</t>
  </si>
  <si>
    <t>gI7ATRE=</t>
  </si>
  <si>
    <t>0guQAEY=</t>
  </si>
  <si>
    <t>jGx/FEI=</t>
  </si>
  <si>
    <t>BwsAAPg=</t>
  </si>
  <si>
    <t>0gORALg=</t>
  </si>
  <si>
    <t>0guAAPg=</t>
  </si>
  <si>
    <t>Jw8AALk=</t>
  </si>
  <si>
    <t>CwsAALk=</t>
  </si>
  <si>
    <t>ASsfADg=</t>
  </si>
  <si>
    <t>OwsAAPg=</t>
  </si>
  <si>
    <t>JwEAALg=</t>
  </si>
  <si>
    <t>0gseEDk=</t>
  </si>
  <si>
    <t>PQ4AALg=</t>
  </si>
  <si>
    <t>C0sQALk=</t>
  </si>
  <si>
    <t>EoZJhj0=</t>
  </si>
  <si>
    <t>0huQILg=</t>
  </si>
  <si>
    <t>BoNSHbk=</t>
  </si>
  <si>
    <t>Jw8AM/o=</t>
  </si>
  <si>
    <t>Jw+QQLg=</t>
  </si>
  <si>
    <t>C3mRALg=</t>
  </si>
  <si>
    <t>uwGQAHg=</t>
  </si>
  <si>
    <t>2wOQAPg=</t>
  </si>
  <si>
    <t>H4YBlUI=</t>
  </si>
  <si>
    <t>bHmRALg=</t>
  </si>
  <si>
    <t>H4ZpDvQ=</t>
  </si>
  <si>
    <t>C85CtEI=</t>
  </si>
  <si>
    <t>1guQAPU=</t>
  </si>
  <si>
    <t>PA6QALk=</t>
  </si>
  <si>
    <t>AisfAQE=</t>
  </si>
  <si>
    <t>BgP4NgA=</t>
  </si>
  <si>
    <t>XtdSAVk=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</si>
</sst>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%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Border="1"/>
    <xf numFmtId="0" fontId="2" fillId="0" borderId="0" xfId="0" applyFont="1" applyBorder="1"/>
    <xf numFmtId="0" fontId="0" fillId="3" borderId="0" xfId="0" quotePrefix="1" applyFill="1" applyBorder="1"/>
    <xf numFmtId="0" fontId="0" fillId="0" borderId="0" xfId="0" applyFill="1" applyBorder="1"/>
    <xf numFmtId="0" fontId="0" fillId="2" borderId="0" xfId="0" applyFill="1" applyBorder="1"/>
    <xf numFmtId="0" fontId="0" fillId="0" borderId="0" xfId="0" quotePrefix="1" applyFill="1" applyBorder="1"/>
    <xf numFmtId="0" fontId="3" fillId="0" borderId="0" xfId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1" fontId="0" fillId="0" borderId="0" xfId="0" applyNumberFormat="1" applyBorder="1"/>
    <xf numFmtId="1" fontId="0" fillId="0" borderId="0" xfId="0" applyNumberFormat="1" applyBorder="1" applyAlignment="1">
      <alignment horizontal="center"/>
    </xf>
    <xf numFmtId="1" fontId="0" fillId="4" borderId="0" xfId="0" applyNumberFormat="1" applyFill="1" applyBorder="1" applyAlignment="1">
      <alignment textRotation="90"/>
    </xf>
    <xf numFmtId="1" fontId="0" fillId="0" borderId="0" xfId="0" applyNumberFormat="1" applyFill="1" applyBorder="1" applyAlignment="1">
      <alignment textRotation="90"/>
    </xf>
    <xf numFmtId="1" fontId="0" fillId="5" borderId="1" xfId="0" applyNumberFormat="1" applyFill="1" applyBorder="1"/>
    <xf numFmtId="1" fontId="0" fillId="5" borderId="2" xfId="0" applyNumberFormat="1" applyFill="1" applyBorder="1"/>
    <xf numFmtId="1" fontId="0" fillId="5" borderId="3" xfId="0" applyNumberFormat="1" applyFill="1" applyBorder="1"/>
    <xf numFmtId="1" fontId="0" fillId="5" borderId="0" xfId="0" applyNumberFormat="1" applyFill="1" applyBorder="1"/>
    <xf numFmtId="1" fontId="0" fillId="0" borderId="0" xfId="0" applyNumberForma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165" fontId="0" fillId="0" borderId="0" xfId="2" applyNumberFormat="1" applyFont="1" applyBorder="1"/>
    <xf numFmtId="0" fontId="0" fillId="0" borderId="0" xfId="0" applyBorder="1" applyAlignment="1">
      <alignment horizontal="right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95250</xdr:colOff>
          <xdr:row>3</xdr:row>
          <xdr:rowOff>257175</xdr:rowOff>
        </xdr:from>
        <xdr:to>
          <xdr:col>29</xdr:col>
          <xdr:colOff>1095375</xdr:colOff>
          <xdr:row>3</xdr:row>
          <xdr:rowOff>781050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1323975</xdr:colOff>
          <xdr:row>3</xdr:row>
          <xdr:rowOff>228600</xdr:rowOff>
        </xdr:from>
        <xdr:to>
          <xdr:col>31</xdr:col>
          <xdr:colOff>28575</xdr:colOff>
          <xdr:row>3</xdr:row>
          <xdr:rowOff>762000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35814-3FBE-4F8B-8BEA-77C74A40FBEE}">
  <sheetPr codeName="Sheet2"/>
  <dimension ref="A1:AI87"/>
  <sheetViews>
    <sheetView tabSelected="1" zoomScaleNormal="100" workbookViewId="0">
      <selection activeCell="AI2" sqref="AI2"/>
    </sheetView>
  </sheetViews>
  <sheetFormatPr defaultColWidth="10.42578125" defaultRowHeight="15" x14ac:dyDescent="0.25"/>
  <cols>
    <col min="1" max="1" width="17" style="1" bestFit="1" customWidth="1"/>
    <col min="2" max="10" width="4.5703125" style="10" customWidth="1"/>
    <col min="11" max="11" width="2.7109375" style="10" customWidth="1"/>
    <col min="12" max="15" width="3.7109375" style="10" customWidth="1"/>
    <col min="16" max="16" width="2.7109375" style="10" customWidth="1"/>
    <col min="17" max="20" width="3.7109375" style="10" customWidth="1"/>
    <col min="21" max="21" width="2.7109375" style="10" customWidth="1"/>
    <col min="22" max="22" width="6" style="10" bestFit="1" customWidth="1"/>
    <col min="23" max="23" width="2.7109375" style="10" customWidth="1"/>
    <col min="24" max="24" width="13" style="10" customWidth="1"/>
    <col min="25" max="25" width="1.5703125" style="1" bestFit="1" customWidth="1"/>
    <col min="26" max="27" width="3" style="1" bestFit="1" customWidth="1"/>
    <col min="28" max="28" width="20.140625" style="1" customWidth="1"/>
    <col min="29" max="29" width="4.5703125" style="1" customWidth="1"/>
    <col min="30" max="30" width="20" style="1" customWidth="1"/>
    <col min="31" max="31" width="14.42578125" style="1" customWidth="1"/>
    <col min="32" max="32" width="8.28515625" style="1" customWidth="1"/>
    <col min="33" max="33" width="5.85546875" style="1" customWidth="1"/>
    <col min="34" max="16384" width="10.42578125" style="1"/>
  </cols>
  <sheetData>
    <row r="1" spans="1:35" x14ac:dyDescent="0.25">
      <c r="A1" s="7" t="s">
        <v>6</v>
      </c>
    </row>
    <row r="2" spans="1:35" x14ac:dyDescent="0.25">
      <c r="A2" s="2"/>
    </row>
    <row r="3" spans="1:35" x14ac:dyDescent="0.25">
      <c r="B3" s="10" t="s">
        <v>7</v>
      </c>
      <c r="C3" s="10" t="s">
        <v>8</v>
      </c>
      <c r="D3" s="10" t="s">
        <v>9</v>
      </c>
      <c r="E3" s="10" t="s">
        <v>10</v>
      </c>
      <c r="F3" s="10" t="s">
        <v>11</v>
      </c>
      <c r="G3" s="10" t="s">
        <v>12</v>
      </c>
      <c r="H3" s="10" t="s">
        <v>13</v>
      </c>
      <c r="I3" s="10" t="s">
        <v>14</v>
      </c>
      <c r="J3" s="10" t="s">
        <v>15</v>
      </c>
      <c r="L3" s="11" t="s">
        <v>24</v>
      </c>
      <c r="M3" s="11"/>
      <c r="N3" s="11"/>
      <c r="O3" s="11"/>
      <c r="P3" s="18"/>
      <c r="Q3" s="11" t="s">
        <v>32</v>
      </c>
      <c r="R3" s="11"/>
      <c r="S3" s="11"/>
      <c r="T3" s="11"/>
      <c r="U3" s="18"/>
      <c r="V3" s="18"/>
    </row>
    <row r="4" spans="1:35" ht="72" customHeight="1" thickBot="1" x14ac:dyDescent="0.3">
      <c r="A4" s="1" t="s">
        <v>4</v>
      </c>
      <c r="B4" s="12" t="s">
        <v>28</v>
      </c>
      <c r="C4" s="12" t="s">
        <v>28</v>
      </c>
      <c r="D4" s="12" t="s">
        <v>28</v>
      </c>
      <c r="E4" s="12" t="s">
        <v>26</v>
      </c>
      <c r="F4" s="12" t="s">
        <v>26</v>
      </c>
      <c r="G4" s="12" t="s">
        <v>26</v>
      </c>
      <c r="H4" s="12" t="s">
        <v>27</v>
      </c>
      <c r="I4" s="12" t="s">
        <v>27</v>
      </c>
      <c r="J4" s="12" t="s">
        <v>27</v>
      </c>
      <c r="K4" s="10" t="s">
        <v>3</v>
      </c>
      <c r="L4" s="13" t="s">
        <v>20</v>
      </c>
      <c r="M4" s="13" t="s">
        <v>21</v>
      </c>
      <c r="N4" s="13" t="s">
        <v>22</v>
      </c>
      <c r="O4" s="13" t="s">
        <v>34</v>
      </c>
      <c r="P4" s="13" t="s">
        <v>3</v>
      </c>
      <c r="Q4" s="13" t="s">
        <v>25</v>
      </c>
      <c r="R4" s="13" t="s">
        <v>18</v>
      </c>
      <c r="S4" s="13" t="s">
        <v>19</v>
      </c>
      <c r="T4" s="13" t="s">
        <v>34</v>
      </c>
      <c r="U4" s="13" t="s">
        <v>3</v>
      </c>
      <c r="V4" s="13" t="s">
        <v>29</v>
      </c>
      <c r="W4" s="10" t="s">
        <v>3</v>
      </c>
      <c r="X4" s="10" t="s">
        <v>0</v>
      </c>
      <c r="Y4" s="1" t="s">
        <v>3</v>
      </c>
      <c r="Z4" s="9" t="s">
        <v>1</v>
      </c>
      <c r="AA4" s="9"/>
      <c r="AB4" s="1" t="s">
        <v>2</v>
      </c>
      <c r="AH4" s="9" t="s">
        <v>16</v>
      </c>
      <c r="AI4" s="9"/>
    </row>
    <row r="5" spans="1:35" ht="15.75" thickBot="1" x14ac:dyDescent="0.3">
      <c r="A5" s="3" t="s">
        <v>43</v>
      </c>
      <c r="B5" s="14">
        <f t="array" ref="B5:J87">_xll.gxParse($B$4:$J$4,$A5:$A87)</f>
        <v>13</v>
      </c>
      <c r="C5" s="15">
        <v>2</v>
      </c>
      <c r="D5" s="15">
        <v>0</v>
      </c>
      <c r="E5" s="15">
        <v>11</v>
      </c>
      <c r="F5" s="15">
        <v>9</v>
      </c>
      <c r="G5" s="15">
        <v>0</v>
      </c>
      <c r="H5" s="15">
        <v>0</v>
      </c>
      <c r="I5" s="15">
        <v>2</v>
      </c>
      <c r="J5" s="16">
        <v>28</v>
      </c>
      <c r="L5" s="10">
        <f>B5+C5+D5</f>
        <v>15</v>
      </c>
      <c r="M5" s="10">
        <f>E5+F5+G5</f>
        <v>20</v>
      </c>
      <c r="N5" s="10">
        <f>H5+I5+J5</f>
        <v>30</v>
      </c>
      <c r="O5" s="10">
        <f>ABS(L5-$AH$16)+ABS(M5-$AH$17)+ABS(N5-$AH$18)</f>
        <v>0</v>
      </c>
      <c r="Q5" s="10">
        <f>B5+E5+H5</f>
        <v>24</v>
      </c>
      <c r="R5" s="10">
        <f>C5+F5+I5</f>
        <v>13</v>
      </c>
      <c r="S5" s="10">
        <f>D5+G5+J5</f>
        <v>28</v>
      </c>
      <c r="T5" s="10">
        <f>MAX(0,$AH$21-Q5)+MAX(0,$AH$22-R5)+MAX(0,$AH$23-S5)</f>
        <v>0</v>
      </c>
      <c r="V5" s="10">
        <f>MMULT(B5:J5,$AH$5:$AH$13)</f>
        <v>7589</v>
      </c>
      <c r="X5" s="10">
        <f>(90000-V5)*(100-O5)*(100-T5)-100*COUNTIF(B5:J5,"=0")</f>
        <v>824109700</v>
      </c>
      <c r="Z5" s="4">
        <f t="array" ref="Z5:AA65">_xll.gxSample($A$5:$A$87,$X$5:$X$87)</f>
        <v>0</v>
      </c>
      <c r="AA5" s="4">
        <v>0</v>
      </c>
      <c r="AB5" s="5" t="str">
        <f t="array" ref="AB5:AB65">_xll.gxCross($A$5:$A$87,$Z$5:$AA$65)</f>
        <v>0guQALg=</v>
      </c>
      <c r="AD5" s="8" t="s">
        <v>5</v>
      </c>
      <c r="AE5" s="8">
        <v>5000</v>
      </c>
      <c r="AH5" s="1">
        <v>105</v>
      </c>
      <c r="AI5" s="1" t="s">
        <v>7</v>
      </c>
    </row>
    <row r="6" spans="1:35" x14ac:dyDescent="0.25">
      <c r="A6" s="3" t="s">
        <v>73</v>
      </c>
      <c r="B6" s="17">
        <v>3</v>
      </c>
      <c r="C6" s="17">
        <v>13</v>
      </c>
      <c r="D6" s="17">
        <v>0</v>
      </c>
      <c r="E6" s="17">
        <v>14</v>
      </c>
      <c r="F6" s="17">
        <v>0</v>
      </c>
      <c r="G6" s="17">
        <v>0</v>
      </c>
      <c r="H6" s="17">
        <v>0</v>
      </c>
      <c r="I6" s="17">
        <v>2</v>
      </c>
      <c r="J6" s="17">
        <v>28</v>
      </c>
      <c r="L6" s="10">
        <f t="shared" ref="L6:L69" si="0">B6+C6+D6</f>
        <v>16</v>
      </c>
      <c r="M6" s="10">
        <f t="shared" ref="M6:M69" si="1">E6+F6+G6</f>
        <v>14</v>
      </c>
      <c r="N6" s="10">
        <f t="shared" ref="N6:N69" si="2">H6+I6+J6</f>
        <v>30</v>
      </c>
      <c r="O6" s="10">
        <f t="shared" ref="O6:O69" si="3">ABS(L6-$AH$16)+ABS(M6-$AH$17)+ABS(N6-$AH$18)</f>
        <v>7</v>
      </c>
      <c r="Q6" s="10">
        <f t="shared" ref="Q6:Q69" si="4">B6+E6+H6</f>
        <v>17</v>
      </c>
      <c r="R6" s="10">
        <f t="shared" ref="R6:R69" si="5">C6+F6+I6</f>
        <v>15</v>
      </c>
      <c r="S6" s="10">
        <f t="shared" ref="S6:S69" si="6">D6+G6+J6</f>
        <v>28</v>
      </c>
      <c r="T6" s="10">
        <f t="shared" ref="T6:T69" si="7">MAX(0,$AH$21-Q6)+MAX(0,$AH$22-R6)+MAX(0,$AH$23-S6)</f>
        <v>0</v>
      </c>
      <c r="V6" s="10">
        <f t="shared" ref="V6:V69" si="8">MMULT(B6:J6,$AH$5:$AH$13)</f>
        <v>7094</v>
      </c>
      <c r="X6" s="10">
        <f t="shared" ref="X6:X69" si="9">(90000-V6)*(100-O6)*(100-T6)-100*COUNTIF(B6:J6,"=0")</f>
        <v>771025400</v>
      </c>
      <c r="Z6" s="4">
        <v>0</v>
      </c>
      <c r="AA6" s="4">
        <v>58</v>
      </c>
      <c r="AB6" s="5" t="str">
        <v>0gsQokc=</v>
      </c>
      <c r="AD6" s="19"/>
      <c r="AE6" s="20"/>
      <c r="AH6" s="1">
        <v>135</v>
      </c>
      <c r="AI6" s="1" t="s">
        <v>8</v>
      </c>
    </row>
    <row r="7" spans="1:35" x14ac:dyDescent="0.25">
      <c r="A7" s="3" t="s">
        <v>62</v>
      </c>
      <c r="B7" s="17">
        <v>13</v>
      </c>
      <c r="C7" s="17">
        <v>2</v>
      </c>
      <c r="D7" s="17">
        <v>0</v>
      </c>
      <c r="E7" s="17">
        <v>11</v>
      </c>
      <c r="F7" s="17">
        <v>9</v>
      </c>
      <c r="G7" s="17">
        <v>0</v>
      </c>
      <c r="H7" s="17">
        <v>0</v>
      </c>
      <c r="I7" s="17">
        <v>1</v>
      </c>
      <c r="J7" s="17">
        <v>3</v>
      </c>
      <c r="L7" s="10">
        <f t="shared" si="0"/>
        <v>15</v>
      </c>
      <c r="M7" s="10">
        <f t="shared" si="1"/>
        <v>20</v>
      </c>
      <c r="N7" s="10">
        <f t="shared" si="2"/>
        <v>4</v>
      </c>
      <c r="O7" s="10">
        <f t="shared" si="3"/>
        <v>26</v>
      </c>
      <c r="Q7" s="10">
        <f t="shared" si="4"/>
        <v>24</v>
      </c>
      <c r="R7" s="10">
        <f t="shared" si="5"/>
        <v>12</v>
      </c>
      <c r="S7" s="10">
        <f t="shared" si="6"/>
        <v>3</v>
      </c>
      <c r="T7" s="10">
        <f t="shared" si="7"/>
        <v>18</v>
      </c>
      <c r="V7" s="10">
        <f t="shared" si="8"/>
        <v>4582</v>
      </c>
      <c r="X7" s="10">
        <f t="shared" si="9"/>
        <v>518316124</v>
      </c>
      <c r="Z7" s="4">
        <v>0</v>
      </c>
      <c r="AA7" s="4">
        <v>3</v>
      </c>
      <c r="AB7" s="5" t="str">
        <v>AwuQADg=</v>
      </c>
      <c r="AD7" s="8" t="s">
        <v>35</v>
      </c>
      <c r="AE7" s="8" t="s">
        <v>30</v>
      </c>
      <c r="AH7" s="1">
        <v>153</v>
      </c>
      <c r="AI7" s="1" t="s">
        <v>9</v>
      </c>
    </row>
    <row r="8" spans="1:35" x14ac:dyDescent="0.25">
      <c r="A8" s="3" t="s">
        <v>47</v>
      </c>
      <c r="B8" s="17">
        <v>0</v>
      </c>
      <c r="C8" s="17">
        <v>3</v>
      </c>
      <c r="D8" s="17">
        <v>0</v>
      </c>
      <c r="E8" s="17">
        <v>11</v>
      </c>
      <c r="F8" s="17">
        <v>9</v>
      </c>
      <c r="G8" s="17">
        <v>0</v>
      </c>
      <c r="H8" s="17">
        <v>0</v>
      </c>
      <c r="I8" s="17">
        <v>2</v>
      </c>
      <c r="J8" s="17">
        <v>28</v>
      </c>
      <c r="L8" s="10">
        <f t="shared" si="0"/>
        <v>3</v>
      </c>
      <c r="M8" s="10">
        <f t="shared" si="1"/>
        <v>20</v>
      </c>
      <c r="N8" s="10">
        <f t="shared" si="2"/>
        <v>30</v>
      </c>
      <c r="O8" s="10">
        <f t="shared" si="3"/>
        <v>12</v>
      </c>
      <c r="Q8" s="10">
        <f t="shared" si="4"/>
        <v>11</v>
      </c>
      <c r="R8" s="10">
        <f t="shared" si="5"/>
        <v>14</v>
      </c>
      <c r="S8" s="10">
        <f t="shared" si="6"/>
        <v>28</v>
      </c>
      <c r="T8" s="10">
        <f t="shared" si="7"/>
        <v>0</v>
      </c>
      <c r="V8" s="10">
        <f t="shared" si="8"/>
        <v>6359</v>
      </c>
      <c r="X8" s="10">
        <f t="shared" si="9"/>
        <v>736040400</v>
      </c>
      <c r="Z8" s="4">
        <v>0</v>
      </c>
      <c r="AA8" s="4">
        <v>52</v>
      </c>
      <c r="AB8" s="5" t="str">
        <v>0kuQALg=</v>
      </c>
      <c r="AD8" s="18">
        <f>B5</f>
        <v>13</v>
      </c>
      <c r="AE8" s="8">
        <v>15</v>
      </c>
      <c r="AF8" s="1" t="s">
        <v>7</v>
      </c>
      <c r="AH8" s="4">
        <v>110</v>
      </c>
      <c r="AI8" s="4" t="s">
        <v>10</v>
      </c>
    </row>
    <row r="9" spans="1:35" x14ac:dyDescent="0.25">
      <c r="A9" s="3" t="s">
        <v>71</v>
      </c>
      <c r="B9" s="17">
        <v>2</v>
      </c>
      <c r="C9" s="17">
        <v>7</v>
      </c>
      <c r="D9" s="17">
        <v>0</v>
      </c>
      <c r="E9" s="17">
        <v>1</v>
      </c>
      <c r="F9" s="17">
        <v>0</v>
      </c>
      <c r="G9" s="17">
        <v>0</v>
      </c>
      <c r="H9" s="17">
        <v>0</v>
      </c>
      <c r="I9" s="17">
        <v>2</v>
      </c>
      <c r="J9" s="17">
        <v>28</v>
      </c>
      <c r="L9" s="10">
        <f t="shared" si="0"/>
        <v>9</v>
      </c>
      <c r="M9" s="10">
        <f t="shared" si="1"/>
        <v>1</v>
      </c>
      <c r="N9" s="10">
        <f t="shared" si="2"/>
        <v>30</v>
      </c>
      <c r="O9" s="10">
        <f t="shared" si="3"/>
        <v>25</v>
      </c>
      <c r="Q9" s="10">
        <f t="shared" si="4"/>
        <v>3</v>
      </c>
      <c r="R9" s="10">
        <f t="shared" si="5"/>
        <v>9</v>
      </c>
      <c r="S9" s="10">
        <f t="shared" si="6"/>
        <v>28</v>
      </c>
      <c r="T9" s="10">
        <f t="shared" si="7"/>
        <v>11</v>
      </c>
      <c r="V9" s="10">
        <f t="shared" si="8"/>
        <v>4749</v>
      </c>
      <c r="X9" s="10">
        <f t="shared" si="9"/>
        <v>569050025</v>
      </c>
      <c r="Z9" s="4">
        <v>0</v>
      </c>
      <c r="AA9" s="4">
        <v>71</v>
      </c>
      <c r="AB9" s="5" t="str">
        <v>+o4ACLg=</v>
      </c>
      <c r="AD9" s="18">
        <f>C5</f>
        <v>2</v>
      </c>
      <c r="AE9" s="8">
        <v>0</v>
      </c>
      <c r="AF9" s="1" t="s">
        <v>8</v>
      </c>
      <c r="AH9" s="4">
        <v>140</v>
      </c>
      <c r="AI9" s="4" t="s">
        <v>11</v>
      </c>
    </row>
    <row r="10" spans="1:35" x14ac:dyDescent="0.25">
      <c r="A10" s="3" t="s">
        <v>50</v>
      </c>
      <c r="B10" s="17">
        <v>13</v>
      </c>
      <c r="C10" s="17">
        <v>2</v>
      </c>
      <c r="D10" s="17">
        <v>0</v>
      </c>
      <c r="E10" s="17">
        <v>11</v>
      </c>
      <c r="F10" s="17">
        <v>3</v>
      </c>
      <c r="G10" s="17">
        <v>8</v>
      </c>
      <c r="H10" s="17">
        <v>0</v>
      </c>
      <c r="I10" s="17">
        <v>6</v>
      </c>
      <c r="J10" s="17">
        <v>28</v>
      </c>
      <c r="L10" s="10">
        <f t="shared" si="0"/>
        <v>15</v>
      </c>
      <c r="M10" s="10">
        <f t="shared" si="1"/>
        <v>22</v>
      </c>
      <c r="N10" s="10">
        <f t="shared" si="2"/>
        <v>34</v>
      </c>
      <c r="O10" s="10">
        <f t="shared" si="3"/>
        <v>6</v>
      </c>
      <c r="Q10" s="10">
        <f t="shared" si="4"/>
        <v>24</v>
      </c>
      <c r="R10" s="10">
        <f t="shared" si="5"/>
        <v>11</v>
      </c>
      <c r="S10" s="10">
        <f t="shared" si="6"/>
        <v>36</v>
      </c>
      <c r="T10" s="10">
        <f t="shared" si="7"/>
        <v>2</v>
      </c>
      <c r="V10" s="10">
        <f t="shared" si="8"/>
        <v>8373</v>
      </c>
      <c r="X10" s="10">
        <f t="shared" si="9"/>
        <v>751947724</v>
      </c>
      <c r="Z10" s="4">
        <v>0</v>
      </c>
      <c r="AA10" s="4">
        <v>75</v>
      </c>
      <c r="AB10" s="5" t="str">
        <v>0guQAJg=</v>
      </c>
      <c r="AD10" s="18">
        <f>D5</f>
        <v>0</v>
      </c>
      <c r="AE10" s="8">
        <v>0</v>
      </c>
      <c r="AF10" s="1" t="s">
        <v>9</v>
      </c>
      <c r="AH10" s="4">
        <v>137</v>
      </c>
      <c r="AI10" s="4" t="s">
        <v>12</v>
      </c>
    </row>
    <row r="11" spans="1:35" x14ac:dyDescent="0.25">
      <c r="A11" s="3" t="s">
        <v>57</v>
      </c>
      <c r="B11" s="17">
        <v>5</v>
      </c>
      <c r="C11" s="17">
        <v>14</v>
      </c>
      <c r="D11" s="17">
        <v>13</v>
      </c>
      <c r="E11" s="17">
        <v>7</v>
      </c>
      <c r="F11" s="17">
        <v>5</v>
      </c>
      <c r="G11" s="17">
        <v>2</v>
      </c>
      <c r="H11" s="17">
        <v>2</v>
      </c>
      <c r="I11" s="17">
        <v>6</v>
      </c>
      <c r="J11" s="17">
        <v>28</v>
      </c>
      <c r="L11" s="10">
        <f t="shared" si="0"/>
        <v>32</v>
      </c>
      <c r="M11" s="10">
        <f t="shared" si="1"/>
        <v>14</v>
      </c>
      <c r="N11" s="10">
        <f t="shared" si="2"/>
        <v>36</v>
      </c>
      <c r="O11" s="10">
        <f t="shared" si="3"/>
        <v>29</v>
      </c>
      <c r="Q11" s="10">
        <f t="shared" si="4"/>
        <v>14</v>
      </c>
      <c r="R11" s="10">
        <f t="shared" si="5"/>
        <v>25</v>
      </c>
      <c r="S11" s="10">
        <f t="shared" si="6"/>
        <v>43</v>
      </c>
      <c r="T11" s="10">
        <f t="shared" si="7"/>
        <v>0</v>
      </c>
      <c r="V11" s="10">
        <f t="shared" si="8"/>
        <v>10420</v>
      </c>
      <c r="X11" s="10">
        <f t="shared" si="9"/>
        <v>565018000</v>
      </c>
      <c r="Z11" s="4">
        <v>0</v>
      </c>
      <c r="AA11" s="4">
        <v>74</v>
      </c>
      <c r="AB11" s="5" t="str">
        <v>0guAAKA=</v>
      </c>
      <c r="AD11" s="18">
        <f>E5</f>
        <v>11</v>
      </c>
      <c r="AE11" s="21">
        <v>17</v>
      </c>
      <c r="AF11" s="4" t="s">
        <v>10</v>
      </c>
      <c r="AH11" s="4">
        <v>130</v>
      </c>
      <c r="AI11" s="4" t="s">
        <v>13</v>
      </c>
    </row>
    <row r="12" spans="1:35" x14ac:dyDescent="0.25">
      <c r="A12" s="3" t="s">
        <v>49</v>
      </c>
      <c r="B12" s="17">
        <v>13</v>
      </c>
      <c r="C12" s="17">
        <v>2</v>
      </c>
      <c r="D12" s="17">
        <v>0</v>
      </c>
      <c r="E12" s="17">
        <v>11</v>
      </c>
      <c r="F12" s="17">
        <v>9</v>
      </c>
      <c r="G12" s="17">
        <v>0</v>
      </c>
      <c r="H12" s="17">
        <v>8</v>
      </c>
      <c r="I12" s="17">
        <v>0</v>
      </c>
      <c r="J12" s="17">
        <v>0</v>
      </c>
      <c r="L12" s="10">
        <f t="shared" si="0"/>
        <v>15</v>
      </c>
      <c r="M12" s="10">
        <f t="shared" si="1"/>
        <v>20</v>
      </c>
      <c r="N12" s="10">
        <f t="shared" si="2"/>
        <v>8</v>
      </c>
      <c r="O12" s="10">
        <f t="shared" si="3"/>
        <v>22</v>
      </c>
      <c r="Q12" s="10">
        <f t="shared" si="4"/>
        <v>32</v>
      </c>
      <c r="R12" s="10">
        <f t="shared" si="5"/>
        <v>11</v>
      </c>
      <c r="S12" s="10">
        <f t="shared" si="6"/>
        <v>0</v>
      </c>
      <c r="T12" s="10">
        <f t="shared" si="7"/>
        <v>22</v>
      </c>
      <c r="V12" s="10">
        <f t="shared" si="8"/>
        <v>5145</v>
      </c>
      <c r="X12" s="10">
        <f t="shared" si="9"/>
        <v>516257420</v>
      </c>
      <c r="Z12" s="4">
        <v>0</v>
      </c>
      <c r="AA12" s="4">
        <v>23</v>
      </c>
      <c r="AB12" s="5" t="str">
        <v>0guQAHE=</v>
      </c>
      <c r="AD12" s="18">
        <f>F5</f>
        <v>9</v>
      </c>
      <c r="AE12" s="21">
        <v>3</v>
      </c>
      <c r="AF12" s="4" t="s">
        <v>11</v>
      </c>
      <c r="AH12" s="4">
        <v>132</v>
      </c>
      <c r="AI12" s="4" t="s">
        <v>14</v>
      </c>
    </row>
    <row r="13" spans="1:35" x14ac:dyDescent="0.25">
      <c r="A13" s="3" t="s">
        <v>44</v>
      </c>
      <c r="B13" s="17">
        <v>13</v>
      </c>
      <c r="C13" s="17">
        <v>2</v>
      </c>
      <c r="D13" s="17">
        <v>0</v>
      </c>
      <c r="E13" s="17">
        <v>11</v>
      </c>
      <c r="F13" s="17">
        <v>0</v>
      </c>
      <c r="G13" s="17">
        <v>0</v>
      </c>
      <c r="H13" s="17">
        <v>0</v>
      </c>
      <c r="I13" s="17">
        <v>2</v>
      </c>
      <c r="J13" s="17">
        <v>28</v>
      </c>
      <c r="L13" s="10">
        <f t="shared" si="0"/>
        <v>15</v>
      </c>
      <c r="M13" s="10">
        <f t="shared" si="1"/>
        <v>11</v>
      </c>
      <c r="N13" s="10">
        <f t="shared" si="2"/>
        <v>30</v>
      </c>
      <c r="O13" s="10">
        <f t="shared" si="3"/>
        <v>9</v>
      </c>
      <c r="Q13" s="10">
        <f t="shared" si="4"/>
        <v>24</v>
      </c>
      <c r="R13" s="10">
        <f t="shared" si="5"/>
        <v>4</v>
      </c>
      <c r="S13" s="10">
        <f t="shared" si="6"/>
        <v>28</v>
      </c>
      <c r="T13" s="10">
        <f t="shared" si="7"/>
        <v>9</v>
      </c>
      <c r="V13" s="10">
        <f t="shared" si="8"/>
        <v>6329</v>
      </c>
      <c r="X13" s="10">
        <f t="shared" si="9"/>
        <v>692879151</v>
      </c>
      <c r="Z13" s="4">
        <v>0</v>
      </c>
      <c r="AA13" s="4">
        <v>17</v>
      </c>
      <c r="AB13" s="5" t="str">
        <v>0guQALk=</v>
      </c>
      <c r="AD13" s="18">
        <f>G5</f>
        <v>0</v>
      </c>
      <c r="AE13" s="21">
        <v>0</v>
      </c>
      <c r="AF13" s="4" t="s">
        <v>12</v>
      </c>
      <c r="AH13" s="4">
        <v>115</v>
      </c>
      <c r="AI13" s="4" t="s">
        <v>15</v>
      </c>
    </row>
    <row r="14" spans="1:35" x14ac:dyDescent="0.25">
      <c r="A14" s="3" t="s">
        <v>65</v>
      </c>
      <c r="B14" s="17">
        <v>13</v>
      </c>
      <c r="C14" s="17">
        <v>2</v>
      </c>
      <c r="D14" s="17">
        <v>0</v>
      </c>
      <c r="E14" s="17">
        <v>3</v>
      </c>
      <c r="F14" s="17">
        <v>9</v>
      </c>
      <c r="G14" s="17">
        <v>1</v>
      </c>
      <c r="H14" s="17">
        <v>0</v>
      </c>
      <c r="I14" s="17">
        <v>2</v>
      </c>
      <c r="J14" s="17">
        <v>28</v>
      </c>
      <c r="L14" s="10">
        <f t="shared" si="0"/>
        <v>15</v>
      </c>
      <c r="M14" s="10">
        <f t="shared" si="1"/>
        <v>13</v>
      </c>
      <c r="N14" s="10">
        <f t="shared" si="2"/>
        <v>30</v>
      </c>
      <c r="O14" s="10">
        <f t="shared" si="3"/>
        <v>7</v>
      </c>
      <c r="Q14" s="10">
        <f t="shared" si="4"/>
        <v>16</v>
      </c>
      <c r="R14" s="10">
        <f t="shared" si="5"/>
        <v>13</v>
      </c>
      <c r="S14" s="10">
        <f t="shared" si="6"/>
        <v>29</v>
      </c>
      <c r="T14" s="10">
        <f t="shared" si="7"/>
        <v>0</v>
      </c>
      <c r="V14" s="10">
        <f t="shared" si="8"/>
        <v>6846</v>
      </c>
      <c r="X14" s="10">
        <f t="shared" si="9"/>
        <v>773332000</v>
      </c>
      <c r="Z14" s="4">
        <v>0</v>
      </c>
      <c r="AA14" s="4">
        <v>51</v>
      </c>
      <c r="AB14" s="5" t="str">
        <v>0guQAPU=</v>
      </c>
      <c r="AD14" s="18">
        <f>H5</f>
        <v>0</v>
      </c>
      <c r="AE14" s="21">
        <v>0</v>
      </c>
      <c r="AF14" s="4" t="s">
        <v>13</v>
      </c>
    </row>
    <row r="15" spans="1:35" x14ac:dyDescent="0.25">
      <c r="A15" s="3" t="s">
        <v>43</v>
      </c>
      <c r="B15" s="17">
        <v>13</v>
      </c>
      <c r="C15" s="17">
        <v>2</v>
      </c>
      <c r="D15" s="17">
        <v>0</v>
      </c>
      <c r="E15" s="17">
        <v>11</v>
      </c>
      <c r="F15" s="17">
        <v>9</v>
      </c>
      <c r="G15" s="17">
        <v>0</v>
      </c>
      <c r="H15" s="17">
        <v>0</v>
      </c>
      <c r="I15" s="17">
        <v>2</v>
      </c>
      <c r="J15" s="17">
        <v>28</v>
      </c>
      <c r="L15" s="10">
        <f t="shared" si="0"/>
        <v>15</v>
      </c>
      <c r="M15" s="10">
        <f t="shared" si="1"/>
        <v>20</v>
      </c>
      <c r="N15" s="10">
        <f t="shared" si="2"/>
        <v>30</v>
      </c>
      <c r="O15" s="10">
        <f t="shared" si="3"/>
        <v>0</v>
      </c>
      <c r="Q15" s="10">
        <f t="shared" si="4"/>
        <v>24</v>
      </c>
      <c r="R15" s="10">
        <f t="shared" si="5"/>
        <v>13</v>
      </c>
      <c r="S15" s="10">
        <f t="shared" si="6"/>
        <v>28</v>
      </c>
      <c r="T15" s="10">
        <f t="shared" si="7"/>
        <v>0</v>
      </c>
      <c r="V15" s="10">
        <f t="shared" si="8"/>
        <v>7589</v>
      </c>
      <c r="X15" s="10">
        <f t="shared" si="9"/>
        <v>824109700</v>
      </c>
      <c r="Z15" s="4">
        <v>0</v>
      </c>
      <c r="AA15" s="4">
        <v>36</v>
      </c>
      <c r="AB15" s="5" t="str">
        <v>0guQALg=</v>
      </c>
      <c r="AD15" s="18">
        <f>I5</f>
        <v>2</v>
      </c>
      <c r="AE15" s="21">
        <v>10</v>
      </c>
      <c r="AF15" s="4" t="s">
        <v>14</v>
      </c>
      <c r="AH15" s="9" t="s">
        <v>23</v>
      </c>
      <c r="AI15" s="9"/>
    </row>
    <row r="16" spans="1:35" x14ac:dyDescent="0.25">
      <c r="A16" s="3" t="s">
        <v>46</v>
      </c>
      <c r="B16" s="17">
        <v>13</v>
      </c>
      <c r="C16" s="17">
        <v>2</v>
      </c>
      <c r="D16" s="17">
        <v>0</v>
      </c>
      <c r="E16" s="17">
        <v>3</v>
      </c>
      <c r="F16" s="17">
        <v>9</v>
      </c>
      <c r="G16" s="17">
        <v>0</v>
      </c>
      <c r="H16" s="17">
        <v>0</v>
      </c>
      <c r="I16" s="17">
        <v>2</v>
      </c>
      <c r="J16" s="17">
        <v>28</v>
      </c>
      <c r="L16" s="10">
        <f t="shared" si="0"/>
        <v>15</v>
      </c>
      <c r="M16" s="10">
        <f t="shared" si="1"/>
        <v>12</v>
      </c>
      <c r="N16" s="10">
        <f t="shared" si="2"/>
        <v>30</v>
      </c>
      <c r="O16" s="10">
        <f t="shared" si="3"/>
        <v>8</v>
      </c>
      <c r="Q16" s="10">
        <f t="shared" si="4"/>
        <v>16</v>
      </c>
      <c r="R16" s="10">
        <f t="shared" si="5"/>
        <v>13</v>
      </c>
      <c r="S16" s="10">
        <f t="shared" si="6"/>
        <v>28</v>
      </c>
      <c r="T16" s="10">
        <f t="shared" si="7"/>
        <v>0</v>
      </c>
      <c r="V16" s="10">
        <f t="shared" si="8"/>
        <v>6709</v>
      </c>
      <c r="X16" s="10">
        <f t="shared" si="9"/>
        <v>766276900</v>
      </c>
      <c r="Z16" s="4">
        <v>0</v>
      </c>
      <c r="AA16" s="4">
        <v>23</v>
      </c>
      <c r="AB16" s="5" t="str">
        <v>0guQAHE=</v>
      </c>
      <c r="AD16" s="18">
        <f>J5</f>
        <v>28</v>
      </c>
      <c r="AE16" s="21">
        <v>20</v>
      </c>
      <c r="AF16" s="4" t="s">
        <v>15</v>
      </c>
      <c r="AH16" s="4">
        <v>15</v>
      </c>
      <c r="AI16" s="4" t="s">
        <v>20</v>
      </c>
    </row>
    <row r="17" spans="1:35" x14ac:dyDescent="0.25">
      <c r="A17" s="3" t="s">
        <v>43</v>
      </c>
      <c r="B17" s="17">
        <v>13</v>
      </c>
      <c r="C17" s="17">
        <v>2</v>
      </c>
      <c r="D17" s="17">
        <v>0</v>
      </c>
      <c r="E17" s="17">
        <v>11</v>
      </c>
      <c r="F17" s="17">
        <v>9</v>
      </c>
      <c r="G17" s="17">
        <v>0</v>
      </c>
      <c r="H17" s="17">
        <v>0</v>
      </c>
      <c r="I17" s="17">
        <v>2</v>
      </c>
      <c r="J17" s="17">
        <v>28</v>
      </c>
      <c r="L17" s="10">
        <f t="shared" si="0"/>
        <v>15</v>
      </c>
      <c r="M17" s="10">
        <f t="shared" si="1"/>
        <v>20</v>
      </c>
      <c r="N17" s="10">
        <f t="shared" si="2"/>
        <v>30</v>
      </c>
      <c r="O17" s="10">
        <f t="shared" si="3"/>
        <v>0</v>
      </c>
      <c r="Q17" s="10">
        <f t="shared" si="4"/>
        <v>24</v>
      </c>
      <c r="R17" s="10">
        <f t="shared" si="5"/>
        <v>13</v>
      </c>
      <c r="S17" s="10">
        <f t="shared" si="6"/>
        <v>28</v>
      </c>
      <c r="T17" s="10">
        <f t="shared" si="7"/>
        <v>0</v>
      </c>
      <c r="V17" s="10">
        <f t="shared" si="8"/>
        <v>7589</v>
      </c>
      <c r="X17" s="10">
        <f t="shared" si="9"/>
        <v>824109700</v>
      </c>
      <c r="Z17" s="4">
        <v>0</v>
      </c>
      <c r="AA17" s="4">
        <v>38</v>
      </c>
      <c r="AB17" s="5" t="str">
        <v>AguQALg=</v>
      </c>
      <c r="AD17" s="8"/>
      <c r="AE17" s="8"/>
      <c r="AH17" s="4">
        <v>20</v>
      </c>
      <c r="AI17" s="4" t="s">
        <v>21</v>
      </c>
    </row>
    <row r="18" spans="1:35" x14ac:dyDescent="0.25">
      <c r="A18" s="3" t="s">
        <v>51</v>
      </c>
      <c r="B18" s="17">
        <v>13</v>
      </c>
      <c r="C18" s="17">
        <v>2</v>
      </c>
      <c r="D18" s="17">
        <v>0</v>
      </c>
      <c r="E18" s="17">
        <v>11</v>
      </c>
      <c r="F18" s="17">
        <v>9</v>
      </c>
      <c r="G18" s="17">
        <v>0</v>
      </c>
      <c r="H18" s="17">
        <v>0</v>
      </c>
      <c r="I18" s="17">
        <v>2</v>
      </c>
      <c r="J18" s="17">
        <v>28</v>
      </c>
      <c r="L18" s="10">
        <f t="shared" si="0"/>
        <v>15</v>
      </c>
      <c r="M18" s="10">
        <f t="shared" si="1"/>
        <v>20</v>
      </c>
      <c r="N18" s="10">
        <f t="shared" si="2"/>
        <v>30</v>
      </c>
      <c r="O18" s="10">
        <f t="shared" si="3"/>
        <v>0</v>
      </c>
      <c r="Q18" s="10">
        <f t="shared" si="4"/>
        <v>24</v>
      </c>
      <c r="R18" s="10">
        <f t="shared" si="5"/>
        <v>13</v>
      </c>
      <c r="S18" s="10">
        <f t="shared" si="6"/>
        <v>28</v>
      </c>
      <c r="T18" s="10">
        <f t="shared" si="7"/>
        <v>0</v>
      </c>
      <c r="V18" s="10">
        <f t="shared" si="8"/>
        <v>7589</v>
      </c>
      <c r="X18" s="10">
        <f t="shared" si="9"/>
        <v>824109700</v>
      </c>
      <c r="Z18" s="4">
        <v>13</v>
      </c>
      <c r="AA18" s="4">
        <v>13</v>
      </c>
      <c r="AB18" s="5" t="str">
        <v>0guQALk=</v>
      </c>
      <c r="AD18" s="8" t="s">
        <v>36</v>
      </c>
      <c r="AE18" s="8" t="s">
        <v>31</v>
      </c>
      <c r="AH18" s="4">
        <v>30</v>
      </c>
      <c r="AI18" s="4" t="s">
        <v>22</v>
      </c>
    </row>
    <row r="19" spans="1:35" x14ac:dyDescent="0.25">
      <c r="A19" s="3" t="s">
        <v>67</v>
      </c>
      <c r="B19" s="17">
        <v>2</v>
      </c>
      <c r="C19" s="17">
        <v>7</v>
      </c>
      <c r="D19" s="17">
        <v>0</v>
      </c>
      <c r="E19" s="17">
        <v>15</v>
      </c>
      <c r="F19" s="17">
        <v>0</v>
      </c>
      <c r="G19" s="17">
        <v>0</v>
      </c>
      <c r="H19" s="17">
        <v>0</v>
      </c>
      <c r="I19" s="17">
        <v>2</v>
      </c>
      <c r="J19" s="17">
        <v>28</v>
      </c>
      <c r="L19" s="10">
        <f t="shared" si="0"/>
        <v>9</v>
      </c>
      <c r="M19" s="10">
        <f t="shared" si="1"/>
        <v>15</v>
      </c>
      <c r="N19" s="10">
        <f t="shared" si="2"/>
        <v>30</v>
      </c>
      <c r="O19" s="10">
        <f t="shared" si="3"/>
        <v>11</v>
      </c>
      <c r="Q19" s="10">
        <f t="shared" si="4"/>
        <v>17</v>
      </c>
      <c r="R19" s="10">
        <f t="shared" si="5"/>
        <v>9</v>
      </c>
      <c r="S19" s="10">
        <f t="shared" si="6"/>
        <v>28</v>
      </c>
      <c r="T19" s="10">
        <f t="shared" si="7"/>
        <v>4</v>
      </c>
      <c r="V19" s="10">
        <f t="shared" si="8"/>
        <v>6289</v>
      </c>
      <c r="X19" s="10">
        <f t="shared" si="9"/>
        <v>715226384</v>
      </c>
      <c r="Z19" s="4">
        <v>13</v>
      </c>
      <c r="AA19" s="4">
        <v>24</v>
      </c>
      <c r="AB19" s="5" t="str">
        <v>0gOQALk=</v>
      </c>
      <c r="AD19" s="18">
        <f>V5</f>
        <v>7589</v>
      </c>
      <c r="AE19" s="8">
        <f>SUMPRODUCT(AE8:AE16,AH5:AH13)</f>
        <v>7485</v>
      </c>
    </row>
    <row r="20" spans="1:35" x14ac:dyDescent="0.25">
      <c r="A20" s="3" t="s">
        <v>45</v>
      </c>
      <c r="B20" s="17">
        <v>13</v>
      </c>
      <c r="C20" s="17">
        <v>2</v>
      </c>
      <c r="D20" s="17">
        <v>0</v>
      </c>
      <c r="E20" s="17">
        <v>11</v>
      </c>
      <c r="F20" s="17">
        <v>9</v>
      </c>
      <c r="G20" s="17">
        <v>0</v>
      </c>
      <c r="H20" s="17">
        <v>0</v>
      </c>
      <c r="I20" s="17">
        <v>3</v>
      </c>
      <c r="J20" s="17">
        <v>28</v>
      </c>
      <c r="L20" s="10">
        <f t="shared" si="0"/>
        <v>15</v>
      </c>
      <c r="M20" s="10">
        <f t="shared" si="1"/>
        <v>20</v>
      </c>
      <c r="N20" s="10">
        <f t="shared" si="2"/>
        <v>31</v>
      </c>
      <c r="O20" s="10">
        <f t="shared" si="3"/>
        <v>1</v>
      </c>
      <c r="Q20" s="10">
        <f t="shared" si="4"/>
        <v>24</v>
      </c>
      <c r="R20" s="10">
        <f t="shared" si="5"/>
        <v>14</v>
      </c>
      <c r="S20" s="10">
        <f t="shared" si="6"/>
        <v>28</v>
      </c>
      <c r="T20" s="10">
        <f t="shared" si="7"/>
        <v>0</v>
      </c>
      <c r="V20" s="10">
        <f t="shared" si="8"/>
        <v>7721</v>
      </c>
      <c r="X20" s="10">
        <f t="shared" si="9"/>
        <v>814561800</v>
      </c>
      <c r="Z20" s="4">
        <v>13</v>
      </c>
      <c r="AA20" s="4">
        <v>36</v>
      </c>
      <c r="AB20" s="5" t="str">
        <v>0g+QALk=</v>
      </c>
      <c r="AH20" s="9" t="s">
        <v>33</v>
      </c>
      <c r="AI20" s="9"/>
    </row>
    <row r="21" spans="1:35" x14ac:dyDescent="0.25">
      <c r="A21" s="3" t="s">
        <v>60</v>
      </c>
      <c r="B21" s="17">
        <v>6</v>
      </c>
      <c r="C21" s="17">
        <v>12</v>
      </c>
      <c r="D21" s="17">
        <v>9</v>
      </c>
      <c r="E21" s="17">
        <v>15</v>
      </c>
      <c r="F21" s="17">
        <v>0</v>
      </c>
      <c r="G21" s="17">
        <v>3</v>
      </c>
      <c r="H21" s="17">
        <v>0</v>
      </c>
      <c r="I21" s="17">
        <v>2</v>
      </c>
      <c r="J21" s="17">
        <v>28</v>
      </c>
      <c r="L21" s="10">
        <f t="shared" si="0"/>
        <v>27</v>
      </c>
      <c r="M21" s="10">
        <f t="shared" si="1"/>
        <v>18</v>
      </c>
      <c r="N21" s="10">
        <f t="shared" si="2"/>
        <v>30</v>
      </c>
      <c r="O21" s="10">
        <f t="shared" si="3"/>
        <v>14</v>
      </c>
      <c r="Q21" s="10">
        <f t="shared" si="4"/>
        <v>21</v>
      </c>
      <c r="R21" s="10">
        <f t="shared" si="5"/>
        <v>14</v>
      </c>
      <c r="S21" s="10">
        <f t="shared" si="6"/>
        <v>40</v>
      </c>
      <c r="T21" s="10">
        <f t="shared" si="7"/>
        <v>0</v>
      </c>
      <c r="V21" s="10">
        <f t="shared" si="8"/>
        <v>9172</v>
      </c>
      <c r="X21" s="10">
        <f t="shared" si="9"/>
        <v>695120600</v>
      </c>
      <c r="Z21" s="4">
        <v>13</v>
      </c>
      <c r="AA21" s="4">
        <v>66</v>
      </c>
      <c r="AB21" s="5" t="str">
        <v>0qpSnUI=</v>
      </c>
      <c r="AD21" s="23" t="s">
        <v>37</v>
      </c>
      <c r="AE21" s="22">
        <f>ABS(AE19-AD19)/MAX(AE19,AD19)</f>
        <v>1.3704045328765319E-2</v>
      </c>
      <c r="AH21" s="4">
        <v>10</v>
      </c>
      <c r="AI21" s="4" t="s">
        <v>17</v>
      </c>
    </row>
    <row r="22" spans="1:35" x14ac:dyDescent="0.25">
      <c r="A22" s="3" t="s">
        <v>52</v>
      </c>
      <c r="B22" s="17">
        <v>0</v>
      </c>
      <c r="C22" s="17">
        <v>0</v>
      </c>
      <c r="D22" s="17">
        <v>0</v>
      </c>
      <c r="E22" s="17">
        <v>11</v>
      </c>
      <c r="F22" s="17">
        <v>9</v>
      </c>
      <c r="G22" s="17">
        <v>0</v>
      </c>
      <c r="H22" s="17">
        <v>0</v>
      </c>
      <c r="I22" s="17">
        <v>2</v>
      </c>
      <c r="J22" s="17">
        <v>28</v>
      </c>
      <c r="L22" s="10">
        <f t="shared" si="0"/>
        <v>0</v>
      </c>
      <c r="M22" s="10">
        <f t="shared" si="1"/>
        <v>20</v>
      </c>
      <c r="N22" s="10">
        <f t="shared" si="2"/>
        <v>30</v>
      </c>
      <c r="O22" s="10">
        <f t="shared" si="3"/>
        <v>15</v>
      </c>
      <c r="Q22" s="10">
        <f t="shared" si="4"/>
        <v>11</v>
      </c>
      <c r="R22" s="10">
        <f t="shared" si="5"/>
        <v>11</v>
      </c>
      <c r="S22" s="10">
        <f t="shared" si="6"/>
        <v>28</v>
      </c>
      <c r="T22" s="10">
        <f t="shared" si="7"/>
        <v>2</v>
      </c>
      <c r="V22" s="10">
        <f t="shared" si="8"/>
        <v>5954</v>
      </c>
      <c r="X22" s="10">
        <f t="shared" si="9"/>
        <v>700102680</v>
      </c>
      <c r="Z22" s="4">
        <v>13</v>
      </c>
      <c r="AA22" s="4">
        <v>5</v>
      </c>
      <c r="AB22" s="5" t="str">
        <v>0gsAALk=</v>
      </c>
      <c r="AH22" s="4">
        <v>13</v>
      </c>
      <c r="AI22" s="4" t="s">
        <v>18</v>
      </c>
    </row>
    <row r="23" spans="1:35" x14ac:dyDescent="0.25">
      <c r="A23" s="3" t="s">
        <v>68</v>
      </c>
      <c r="B23" s="17">
        <v>0</v>
      </c>
      <c r="C23" s="17">
        <v>11</v>
      </c>
      <c r="D23" s="17">
        <v>0</v>
      </c>
      <c r="E23" s="17">
        <v>11</v>
      </c>
      <c r="F23" s="17">
        <v>0</v>
      </c>
      <c r="G23" s="17">
        <v>0</v>
      </c>
      <c r="H23" s="17">
        <v>0</v>
      </c>
      <c r="I23" s="17">
        <v>2</v>
      </c>
      <c r="J23" s="17">
        <v>28</v>
      </c>
      <c r="L23" s="10">
        <f t="shared" si="0"/>
        <v>11</v>
      </c>
      <c r="M23" s="10">
        <f t="shared" si="1"/>
        <v>11</v>
      </c>
      <c r="N23" s="10">
        <f t="shared" si="2"/>
        <v>30</v>
      </c>
      <c r="O23" s="10">
        <f t="shared" si="3"/>
        <v>13</v>
      </c>
      <c r="Q23" s="10">
        <f t="shared" si="4"/>
        <v>11</v>
      </c>
      <c r="R23" s="10">
        <f t="shared" si="5"/>
        <v>13</v>
      </c>
      <c r="S23" s="10">
        <f t="shared" si="6"/>
        <v>28</v>
      </c>
      <c r="T23" s="10">
        <f t="shared" si="7"/>
        <v>0</v>
      </c>
      <c r="V23" s="10">
        <f t="shared" si="8"/>
        <v>6179</v>
      </c>
      <c r="X23" s="10">
        <f t="shared" si="9"/>
        <v>729242200</v>
      </c>
      <c r="Z23" s="4">
        <v>13</v>
      </c>
      <c r="AA23" s="4">
        <v>19</v>
      </c>
      <c r="AB23" s="5" t="str">
        <v>C0sQALk=</v>
      </c>
      <c r="AH23" s="4">
        <v>20</v>
      </c>
      <c r="AI23" s="4" t="s">
        <v>19</v>
      </c>
    </row>
    <row r="24" spans="1:35" x14ac:dyDescent="0.25">
      <c r="A24" s="3" t="s">
        <v>74</v>
      </c>
      <c r="B24" s="17">
        <v>0</v>
      </c>
      <c r="C24" s="17">
        <v>11</v>
      </c>
      <c r="D24" s="17">
        <v>4</v>
      </c>
      <c r="E24" s="17">
        <v>11</v>
      </c>
      <c r="F24" s="17">
        <v>1</v>
      </c>
      <c r="G24" s="17">
        <v>0</v>
      </c>
      <c r="H24" s="17">
        <v>0</v>
      </c>
      <c r="I24" s="17">
        <v>2</v>
      </c>
      <c r="J24" s="17">
        <v>28</v>
      </c>
      <c r="L24" s="10">
        <f t="shared" si="0"/>
        <v>15</v>
      </c>
      <c r="M24" s="10">
        <f t="shared" si="1"/>
        <v>12</v>
      </c>
      <c r="N24" s="10">
        <f t="shared" si="2"/>
        <v>30</v>
      </c>
      <c r="O24" s="10">
        <f t="shared" si="3"/>
        <v>8</v>
      </c>
      <c r="Q24" s="10">
        <f t="shared" si="4"/>
        <v>11</v>
      </c>
      <c r="R24" s="10">
        <f t="shared" si="5"/>
        <v>14</v>
      </c>
      <c r="S24" s="10">
        <f t="shared" si="6"/>
        <v>32</v>
      </c>
      <c r="T24" s="10">
        <f t="shared" si="7"/>
        <v>0</v>
      </c>
      <c r="V24" s="10">
        <f t="shared" si="8"/>
        <v>6931</v>
      </c>
      <c r="X24" s="10">
        <f t="shared" si="9"/>
        <v>764234500</v>
      </c>
      <c r="Z24" s="4">
        <v>13</v>
      </c>
      <c r="AA24" s="4">
        <v>55</v>
      </c>
      <c r="AB24" s="5" t="str">
        <v>BgP6NgA=</v>
      </c>
    </row>
    <row r="25" spans="1:35" x14ac:dyDescent="0.25">
      <c r="A25" s="3" t="s">
        <v>75</v>
      </c>
      <c r="B25" s="17">
        <v>1</v>
      </c>
      <c r="C25" s="17">
        <v>2</v>
      </c>
      <c r="D25" s="17">
        <v>8</v>
      </c>
      <c r="E25" s="17">
        <v>6</v>
      </c>
      <c r="F25" s="17">
        <v>4</v>
      </c>
      <c r="G25" s="17">
        <v>9</v>
      </c>
      <c r="H25" s="17">
        <v>16</v>
      </c>
      <c r="I25" s="17">
        <v>24</v>
      </c>
      <c r="J25" s="17">
        <v>0</v>
      </c>
      <c r="L25" s="10">
        <f t="shared" si="0"/>
        <v>11</v>
      </c>
      <c r="M25" s="10">
        <f t="shared" si="1"/>
        <v>19</v>
      </c>
      <c r="N25" s="10">
        <f t="shared" si="2"/>
        <v>40</v>
      </c>
      <c r="O25" s="10">
        <f t="shared" si="3"/>
        <v>15</v>
      </c>
      <c r="Q25" s="10">
        <f t="shared" si="4"/>
        <v>23</v>
      </c>
      <c r="R25" s="10">
        <f t="shared" si="5"/>
        <v>30</v>
      </c>
      <c r="S25" s="10">
        <f t="shared" si="6"/>
        <v>17</v>
      </c>
      <c r="T25" s="10">
        <f t="shared" si="7"/>
        <v>3</v>
      </c>
      <c r="V25" s="10">
        <f t="shared" si="8"/>
        <v>9300</v>
      </c>
      <c r="X25" s="10">
        <f t="shared" si="9"/>
        <v>665371400</v>
      </c>
      <c r="Z25" s="4">
        <v>13</v>
      </c>
      <c r="AA25" s="4">
        <v>55</v>
      </c>
      <c r="AB25" s="5" t="str">
        <v>0gv4NgA=</v>
      </c>
    </row>
    <row r="26" spans="1:35" x14ac:dyDescent="0.25">
      <c r="A26" s="3" t="s">
        <v>72</v>
      </c>
      <c r="B26" s="17">
        <v>13</v>
      </c>
      <c r="C26" s="17">
        <v>2</v>
      </c>
      <c r="D26" s="17">
        <v>0</v>
      </c>
      <c r="E26" s="17">
        <v>11</v>
      </c>
      <c r="F26" s="17">
        <v>1</v>
      </c>
      <c r="G26" s="17">
        <v>14</v>
      </c>
      <c r="H26" s="17">
        <v>2</v>
      </c>
      <c r="I26" s="17">
        <v>0</v>
      </c>
      <c r="J26" s="17">
        <v>28</v>
      </c>
      <c r="L26" s="10">
        <f t="shared" si="0"/>
        <v>15</v>
      </c>
      <c r="M26" s="10">
        <f t="shared" si="1"/>
        <v>26</v>
      </c>
      <c r="N26" s="10">
        <f t="shared" si="2"/>
        <v>30</v>
      </c>
      <c r="O26" s="10">
        <f t="shared" si="3"/>
        <v>6</v>
      </c>
      <c r="Q26" s="10">
        <f t="shared" si="4"/>
        <v>26</v>
      </c>
      <c r="R26" s="10">
        <f t="shared" si="5"/>
        <v>3</v>
      </c>
      <c r="S26" s="10">
        <f t="shared" si="6"/>
        <v>42</v>
      </c>
      <c r="T26" s="10">
        <f t="shared" si="7"/>
        <v>10</v>
      </c>
      <c r="V26" s="10">
        <f t="shared" si="8"/>
        <v>8383</v>
      </c>
      <c r="X26" s="10">
        <f t="shared" si="9"/>
        <v>690479620</v>
      </c>
      <c r="Z26" s="4">
        <v>13</v>
      </c>
      <c r="AA26" s="4">
        <v>26</v>
      </c>
      <c r="AB26" s="5" t="str">
        <v>0guQALk=</v>
      </c>
    </row>
    <row r="27" spans="1:35" x14ac:dyDescent="0.25">
      <c r="A27" s="3" t="s">
        <v>51</v>
      </c>
      <c r="B27" s="17">
        <v>13</v>
      </c>
      <c r="C27" s="17">
        <v>2</v>
      </c>
      <c r="D27" s="17">
        <v>0</v>
      </c>
      <c r="E27" s="17">
        <v>11</v>
      </c>
      <c r="F27" s="17">
        <v>9</v>
      </c>
      <c r="G27" s="17">
        <v>0</v>
      </c>
      <c r="H27" s="17">
        <v>0</v>
      </c>
      <c r="I27" s="17">
        <v>2</v>
      </c>
      <c r="J27" s="17">
        <v>28</v>
      </c>
      <c r="L27" s="10">
        <f t="shared" si="0"/>
        <v>15</v>
      </c>
      <c r="M27" s="10">
        <f t="shared" si="1"/>
        <v>20</v>
      </c>
      <c r="N27" s="10">
        <f t="shared" si="2"/>
        <v>30</v>
      </c>
      <c r="O27" s="10">
        <f t="shared" si="3"/>
        <v>0</v>
      </c>
      <c r="Q27" s="10">
        <f t="shared" si="4"/>
        <v>24</v>
      </c>
      <c r="R27" s="10">
        <f t="shared" si="5"/>
        <v>13</v>
      </c>
      <c r="S27" s="10">
        <f t="shared" si="6"/>
        <v>28</v>
      </c>
      <c r="T27" s="10">
        <f t="shared" si="7"/>
        <v>0</v>
      </c>
      <c r="V27" s="10">
        <f t="shared" si="8"/>
        <v>7589</v>
      </c>
      <c r="X27" s="10">
        <f t="shared" si="9"/>
        <v>824109700</v>
      </c>
      <c r="Z27" s="4">
        <v>13</v>
      </c>
      <c r="AA27" s="4">
        <v>18</v>
      </c>
      <c r="AB27" s="5" t="str">
        <v>CwsAALk=</v>
      </c>
    </row>
    <row r="28" spans="1:35" x14ac:dyDescent="0.25">
      <c r="A28" s="3" t="s">
        <v>59</v>
      </c>
      <c r="B28" s="17">
        <v>13</v>
      </c>
      <c r="C28" s="17">
        <v>2</v>
      </c>
      <c r="D28" s="17">
        <v>0</v>
      </c>
      <c r="E28" s="17">
        <v>11</v>
      </c>
      <c r="F28" s="17">
        <v>9</v>
      </c>
      <c r="G28" s="17">
        <v>0</v>
      </c>
      <c r="H28" s="17">
        <v>0</v>
      </c>
      <c r="I28" s="17">
        <v>1</v>
      </c>
      <c r="J28" s="17">
        <v>24</v>
      </c>
      <c r="L28" s="10">
        <f t="shared" si="0"/>
        <v>15</v>
      </c>
      <c r="M28" s="10">
        <f t="shared" si="1"/>
        <v>20</v>
      </c>
      <c r="N28" s="10">
        <f t="shared" si="2"/>
        <v>25</v>
      </c>
      <c r="O28" s="10">
        <f t="shared" si="3"/>
        <v>5</v>
      </c>
      <c r="Q28" s="10">
        <f t="shared" si="4"/>
        <v>24</v>
      </c>
      <c r="R28" s="10">
        <f t="shared" si="5"/>
        <v>12</v>
      </c>
      <c r="S28" s="10">
        <f t="shared" si="6"/>
        <v>24</v>
      </c>
      <c r="T28" s="10">
        <f t="shared" si="7"/>
        <v>1</v>
      </c>
      <c r="V28" s="10">
        <f t="shared" si="8"/>
        <v>6997</v>
      </c>
      <c r="X28" s="10">
        <f t="shared" si="9"/>
        <v>780642915</v>
      </c>
      <c r="Z28" s="4">
        <v>13</v>
      </c>
      <c r="AA28" s="4">
        <v>57</v>
      </c>
      <c r="AB28" s="5" t="str">
        <v>0guQAAE=</v>
      </c>
    </row>
    <row r="29" spans="1:35" x14ac:dyDescent="0.25">
      <c r="A29" s="3" t="s">
        <v>76</v>
      </c>
      <c r="B29" s="17">
        <v>13</v>
      </c>
      <c r="C29" s="17">
        <v>2</v>
      </c>
      <c r="D29" s="17">
        <v>1</v>
      </c>
      <c r="E29" s="17">
        <v>11</v>
      </c>
      <c r="F29" s="17">
        <v>9</v>
      </c>
      <c r="G29" s="17">
        <v>0</v>
      </c>
      <c r="H29" s="17">
        <v>4</v>
      </c>
      <c r="I29" s="17">
        <v>2</v>
      </c>
      <c r="J29" s="17">
        <v>28</v>
      </c>
      <c r="L29" s="10">
        <f t="shared" si="0"/>
        <v>16</v>
      </c>
      <c r="M29" s="10">
        <f t="shared" si="1"/>
        <v>20</v>
      </c>
      <c r="N29" s="10">
        <f t="shared" si="2"/>
        <v>34</v>
      </c>
      <c r="O29" s="10">
        <f t="shared" si="3"/>
        <v>5</v>
      </c>
      <c r="Q29" s="10">
        <f t="shared" si="4"/>
        <v>28</v>
      </c>
      <c r="R29" s="10">
        <f t="shared" si="5"/>
        <v>13</v>
      </c>
      <c r="S29" s="10">
        <f t="shared" si="6"/>
        <v>29</v>
      </c>
      <c r="T29" s="10">
        <f t="shared" si="7"/>
        <v>0</v>
      </c>
      <c r="V29" s="10">
        <f t="shared" si="8"/>
        <v>8262</v>
      </c>
      <c r="X29" s="10">
        <f t="shared" si="9"/>
        <v>776510900</v>
      </c>
      <c r="Z29" s="4">
        <v>13</v>
      </c>
      <c r="AA29" s="4">
        <v>38</v>
      </c>
      <c r="AB29" s="5" t="str">
        <v>0gmQALk=</v>
      </c>
    </row>
    <row r="30" spans="1:35" x14ac:dyDescent="0.25">
      <c r="A30" s="3" t="s">
        <v>51</v>
      </c>
      <c r="B30" s="17">
        <v>13</v>
      </c>
      <c r="C30" s="17">
        <v>2</v>
      </c>
      <c r="D30" s="17">
        <v>0</v>
      </c>
      <c r="E30" s="17">
        <v>11</v>
      </c>
      <c r="F30" s="17">
        <v>9</v>
      </c>
      <c r="G30" s="17">
        <v>0</v>
      </c>
      <c r="H30" s="17">
        <v>0</v>
      </c>
      <c r="I30" s="17">
        <v>2</v>
      </c>
      <c r="J30" s="17">
        <v>28</v>
      </c>
      <c r="L30" s="10">
        <f t="shared" si="0"/>
        <v>15</v>
      </c>
      <c r="M30" s="10">
        <f t="shared" si="1"/>
        <v>20</v>
      </c>
      <c r="N30" s="10">
        <f t="shared" si="2"/>
        <v>30</v>
      </c>
      <c r="O30" s="10">
        <f t="shared" si="3"/>
        <v>0</v>
      </c>
      <c r="Q30" s="10">
        <f t="shared" si="4"/>
        <v>24</v>
      </c>
      <c r="R30" s="10">
        <f t="shared" si="5"/>
        <v>13</v>
      </c>
      <c r="S30" s="10">
        <f t="shared" si="6"/>
        <v>28</v>
      </c>
      <c r="T30" s="10">
        <f t="shared" si="7"/>
        <v>0</v>
      </c>
      <c r="V30" s="10">
        <f t="shared" si="8"/>
        <v>7589</v>
      </c>
      <c r="X30" s="10">
        <f t="shared" si="9"/>
        <v>824109700</v>
      </c>
      <c r="Z30" s="4">
        <v>13</v>
      </c>
      <c r="AA30" s="4">
        <v>3</v>
      </c>
      <c r="AB30" s="5" t="str">
        <v>0guQALg=</v>
      </c>
    </row>
    <row r="31" spans="1:35" x14ac:dyDescent="0.25">
      <c r="A31" s="3" t="s">
        <v>56</v>
      </c>
      <c r="B31" s="17">
        <v>0</v>
      </c>
      <c r="C31" s="17">
        <v>3</v>
      </c>
      <c r="D31" s="17">
        <v>0</v>
      </c>
      <c r="E31" s="17">
        <v>11</v>
      </c>
      <c r="F31" s="17">
        <v>9</v>
      </c>
      <c r="G31" s="17">
        <v>0</v>
      </c>
      <c r="H31" s="17">
        <v>0</v>
      </c>
      <c r="I31" s="17">
        <v>2</v>
      </c>
      <c r="J31" s="17">
        <v>28</v>
      </c>
      <c r="L31" s="10">
        <f t="shared" si="0"/>
        <v>3</v>
      </c>
      <c r="M31" s="10">
        <f t="shared" si="1"/>
        <v>20</v>
      </c>
      <c r="N31" s="10">
        <f t="shared" si="2"/>
        <v>30</v>
      </c>
      <c r="O31" s="10">
        <f t="shared" si="3"/>
        <v>12</v>
      </c>
      <c r="Q31" s="10">
        <f t="shared" si="4"/>
        <v>11</v>
      </c>
      <c r="R31" s="10">
        <f t="shared" si="5"/>
        <v>14</v>
      </c>
      <c r="S31" s="10">
        <f t="shared" si="6"/>
        <v>28</v>
      </c>
      <c r="T31" s="10">
        <f t="shared" si="7"/>
        <v>0</v>
      </c>
      <c r="V31" s="10">
        <f t="shared" si="8"/>
        <v>6359</v>
      </c>
      <c r="X31" s="10">
        <f t="shared" si="9"/>
        <v>736040400</v>
      </c>
      <c r="Z31" s="4">
        <v>13</v>
      </c>
      <c r="AA31" s="4">
        <v>51</v>
      </c>
      <c r="AB31" s="5" t="str">
        <v>0guQAPU=</v>
      </c>
    </row>
    <row r="32" spans="1:35" x14ac:dyDescent="0.25">
      <c r="A32" s="3" t="s">
        <v>77</v>
      </c>
      <c r="B32" s="17">
        <v>0</v>
      </c>
      <c r="C32" s="17">
        <v>6</v>
      </c>
      <c r="D32" s="17">
        <v>8</v>
      </c>
      <c r="E32" s="17">
        <v>3</v>
      </c>
      <c r="F32" s="17">
        <v>5</v>
      </c>
      <c r="G32" s="17">
        <v>2</v>
      </c>
      <c r="H32" s="17">
        <v>3</v>
      </c>
      <c r="I32" s="17">
        <v>22</v>
      </c>
      <c r="J32" s="17">
        <v>28</v>
      </c>
      <c r="L32" s="10">
        <f t="shared" si="0"/>
        <v>14</v>
      </c>
      <c r="M32" s="10">
        <f t="shared" si="1"/>
        <v>10</v>
      </c>
      <c r="N32" s="10">
        <f t="shared" si="2"/>
        <v>53</v>
      </c>
      <c r="O32" s="10">
        <f t="shared" si="3"/>
        <v>34</v>
      </c>
      <c r="Q32" s="10">
        <f t="shared" si="4"/>
        <v>6</v>
      </c>
      <c r="R32" s="10">
        <f t="shared" si="5"/>
        <v>33</v>
      </c>
      <c r="S32" s="10">
        <f t="shared" si="6"/>
        <v>38</v>
      </c>
      <c r="T32" s="10">
        <f t="shared" si="7"/>
        <v>4</v>
      </c>
      <c r="V32" s="10">
        <f t="shared" si="8"/>
        <v>9852</v>
      </c>
      <c r="X32" s="10">
        <f t="shared" si="9"/>
        <v>507817628</v>
      </c>
      <c r="Z32" s="4">
        <v>49</v>
      </c>
      <c r="AA32" s="4">
        <v>39</v>
      </c>
      <c r="AB32" s="5" t="str">
        <v>AAsAAPg=</v>
      </c>
    </row>
    <row r="33" spans="1:28" x14ac:dyDescent="0.25">
      <c r="A33" s="3" t="s">
        <v>78</v>
      </c>
      <c r="B33" s="17">
        <v>2</v>
      </c>
      <c r="C33" s="17">
        <v>7</v>
      </c>
      <c r="D33" s="17">
        <v>0</v>
      </c>
      <c r="E33" s="17">
        <v>15</v>
      </c>
      <c r="F33" s="17">
        <v>0</v>
      </c>
      <c r="G33" s="17">
        <v>0</v>
      </c>
      <c r="H33" s="17">
        <v>6</v>
      </c>
      <c r="I33" s="17">
        <v>15</v>
      </c>
      <c r="J33" s="17">
        <v>29</v>
      </c>
      <c r="L33" s="10">
        <f t="shared" si="0"/>
        <v>9</v>
      </c>
      <c r="M33" s="10">
        <f t="shared" si="1"/>
        <v>15</v>
      </c>
      <c r="N33" s="10">
        <f t="shared" si="2"/>
        <v>50</v>
      </c>
      <c r="O33" s="10">
        <f t="shared" si="3"/>
        <v>31</v>
      </c>
      <c r="Q33" s="10">
        <f t="shared" si="4"/>
        <v>23</v>
      </c>
      <c r="R33" s="10">
        <f t="shared" si="5"/>
        <v>22</v>
      </c>
      <c r="S33" s="10">
        <f t="shared" si="6"/>
        <v>29</v>
      </c>
      <c r="T33" s="10">
        <f t="shared" si="7"/>
        <v>0</v>
      </c>
      <c r="V33" s="10">
        <f t="shared" si="8"/>
        <v>8900</v>
      </c>
      <c r="X33" s="10">
        <f t="shared" si="9"/>
        <v>559589700</v>
      </c>
      <c r="Z33" s="4">
        <v>13</v>
      </c>
      <c r="AA33" s="4">
        <v>27</v>
      </c>
      <c r="AB33" s="5" t="str">
        <v>BoMCALk=</v>
      </c>
    </row>
    <row r="34" spans="1:28" x14ac:dyDescent="0.25">
      <c r="A34" s="3" t="s">
        <v>79</v>
      </c>
      <c r="B34" s="17">
        <v>2</v>
      </c>
      <c r="C34" s="17">
        <v>7</v>
      </c>
      <c r="D34" s="17">
        <v>0</v>
      </c>
      <c r="E34" s="17">
        <v>15</v>
      </c>
      <c r="F34" s="17">
        <v>9</v>
      </c>
      <c r="G34" s="17">
        <v>0</v>
      </c>
      <c r="H34" s="17">
        <v>8</v>
      </c>
      <c r="I34" s="17">
        <v>2</v>
      </c>
      <c r="J34" s="17">
        <v>28</v>
      </c>
      <c r="L34" s="10">
        <f t="shared" si="0"/>
        <v>9</v>
      </c>
      <c r="M34" s="10">
        <f t="shared" si="1"/>
        <v>24</v>
      </c>
      <c r="N34" s="10">
        <f t="shared" si="2"/>
        <v>38</v>
      </c>
      <c r="O34" s="10">
        <f t="shared" si="3"/>
        <v>18</v>
      </c>
      <c r="Q34" s="10">
        <f t="shared" si="4"/>
        <v>25</v>
      </c>
      <c r="R34" s="10">
        <f t="shared" si="5"/>
        <v>18</v>
      </c>
      <c r="S34" s="10">
        <f t="shared" si="6"/>
        <v>28</v>
      </c>
      <c r="T34" s="10">
        <f t="shared" si="7"/>
        <v>0</v>
      </c>
      <c r="V34" s="10">
        <f t="shared" si="8"/>
        <v>8589</v>
      </c>
      <c r="X34" s="10">
        <f t="shared" si="9"/>
        <v>667570000</v>
      </c>
      <c r="Z34" s="4">
        <v>15</v>
      </c>
      <c r="AA34" s="4">
        <v>62</v>
      </c>
      <c r="AB34" s="5" t="str">
        <v>FjGQAPg=</v>
      </c>
    </row>
    <row r="35" spans="1:28" x14ac:dyDescent="0.25">
      <c r="A35" s="3" t="s">
        <v>80</v>
      </c>
      <c r="B35" s="17">
        <v>0</v>
      </c>
      <c r="C35" s="17">
        <v>11</v>
      </c>
      <c r="D35" s="17">
        <v>7</v>
      </c>
      <c r="E35" s="17">
        <v>9</v>
      </c>
      <c r="F35" s="17">
        <v>9</v>
      </c>
      <c r="G35" s="17">
        <v>1</v>
      </c>
      <c r="H35" s="17">
        <v>0</v>
      </c>
      <c r="I35" s="17">
        <v>2</v>
      </c>
      <c r="J35" s="17">
        <v>28</v>
      </c>
      <c r="L35" s="10">
        <f t="shared" si="0"/>
        <v>18</v>
      </c>
      <c r="M35" s="10">
        <f t="shared" si="1"/>
        <v>19</v>
      </c>
      <c r="N35" s="10">
        <f t="shared" si="2"/>
        <v>30</v>
      </c>
      <c r="O35" s="10">
        <f t="shared" si="3"/>
        <v>4</v>
      </c>
      <c r="Q35" s="10">
        <f t="shared" si="4"/>
        <v>9</v>
      </c>
      <c r="R35" s="10">
        <f t="shared" si="5"/>
        <v>22</v>
      </c>
      <c r="S35" s="10">
        <f t="shared" si="6"/>
        <v>36</v>
      </c>
      <c r="T35" s="10">
        <f t="shared" si="7"/>
        <v>1</v>
      </c>
      <c r="V35" s="10">
        <f t="shared" si="8"/>
        <v>8427</v>
      </c>
      <c r="X35" s="10">
        <f t="shared" si="9"/>
        <v>775269592</v>
      </c>
      <c r="Z35" s="4">
        <v>60</v>
      </c>
      <c r="AA35" s="4">
        <v>15</v>
      </c>
      <c r="AB35" s="5" t="str">
        <v>AgEfokc=</v>
      </c>
    </row>
    <row r="36" spans="1:28" x14ac:dyDescent="0.25">
      <c r="A36" s="3" t="s">
        <v>67</v>
      </c>
      <c r="B36" s="17">
        <v>2</v>
      </c>
      <c r="C36" s="17">
        <v>7</v>
      </c>
      <c r="D36" s="17">
        <v>0</v>
      </c>
      <c r="E36" s="17">
        <v>15</v>
      </c>
      <c r="F36" s="17">
        <v>0</v>
      </c>
      <c r="G36" s="17">
        <v>0</v>
      </c>
      <c r="H36" s="17">
        <v>0</v>
      </c>
      <c r="I36" s="17">
        <v>2</v>
      </c>
      <c r="J36" s="17">
        <v>28</v>
      </c>
      <c r="L36" s="10">
        <f t="shared" si="0"/>
        <v>9</v>
      </c>
      <c r="M36" s="10">
        <f t="shared" si="1"/>
        <v>15</v>
      </c>
      <c r="N36" s="10">
        <f t="shared" si="2"/>
        <v>30</v>
      </c>
      <c r="O36" s="10">
        <f t="shared" si="3"/>
        <v>11</v>
      </c>
      <c r="Q36" s="10">
        <f t="shared" si="4"/>
        <v>17</v>
      </c>
      <c r="R36" s="10">
        <f t="shared" si="5"/>
        <v>9</v>
      </c>
      <c r="S36" s="10">
        <f t="shared" si="6"/>
        <v>28</v>
      </c>
      <c r="T36" s="10">
        <f t="shared" si="7"/>
        <v>4</v>
      </c>
      <c r="V36" s="10">
        <f t="shared" si="8"/>
        <v>6289</v>
      </c>
      <c r="X36" s="10">
        <f t="shared" si="9"/>
        <v>715226384</v>
      </c>
      <c r="Z36" s="4">
        <v>36</v>
      </c>
      <c r="AA36" s="4">
        <v>58</v>
      </c>
      <c r="AB36" s="5" t="str">
        <v>0gsQokc=</v>
      </c>
    </row>
    <row r="37" spans="1:28" x14ac:dyDescent="0.25">
      <c r="A37" s="3" t="s">
        <v>81</v>
      </c>
      <c r="B37" s="17">
        <v>11</v>
      </c>
      <c r="C37" s="17">
        <v>11</v>
      </c>
      <c r="D37" s="17">
        <v>0</v>
      </c>
      <c r="E37" s="17">
        <v>1</v>
      </c>
      <c r="F37" s="17">
        <v>9</v>
      </c>
      <c r="G37" s="17">
        <v>0</v>
      </c>
      <c r="H37" s="17">
        <v>0</v>
      </c>
      <c r="I37" s="17">
        <v>1</v>
      </c>
      <c r="J37" s="17">
        <v>28</v>
      </c>
      <c r="L37" s="10">
        <f t="shared" si="0"/>
        <v>22</v>
      </c>
      <c r="M37" s="10">
        <f t="shared" si="1"/>
        <v>10</v>
      </c>
      <c r="N37" s="10">
        <f t="shared" si="2"/>
        <v>29</v>
      </c>
      <c r="O37" s="10">
        <f t="shared" si="3"/>
        <v>18</v>
      </c>
      <c r="Q37" s="10">
        <f t="shared" si="4"/>
        <v>12</v>
      </c>
      <c r="R37" s="10">
        <f t="shared" si="5"/>
        <v>21</v>
      </c>
      <c r="S37" s="10">
        <f t="shared" si="6"/>
        <v>28</v>
      </c>
      <c r="T37" s="10">
        <f t="shared" si="7"/>
        <v>0</v>
      </c>
      <c r="V37" s="10">
        <f t="shared" si="8"/>
        <v>7362</v>
      </c>
      <c r="X37" s="10">
        <f t="shared" si="9"/>
        <v>677631300</v>
      </c>
      <c r="Z37" s="4">
        <v>33</v>
      </c>
      <c r="AA37" s="4">
        <v>51</v>
      </c>
      <c r="AB37" s="5" t="str">
        <v>0guAAPg=</v>
      </c>
    </row>
    <row r="38" spans="1:28" x14ac:dyDescent="0.25">
      <c r="A38" s="3" t="s">
        <v>66</v>
      </c>
      <c r="B38" s="17">
        <v>13</v>
      </c>
      <c r="C38" s="17">
        <v>2</v>
      </c>
      <c r="D38" s="17">
        <v>0</v>
      </c>
      <c r="E38" s="17">
        <v>11</v>
      </c>
      <c r="F38" s="17">
        <v>8</v>
      </c>
      <c r="G38" s="17">
        <v>0</v>
      </c>
      <c r="H38" s="17">
        <v>0</v>
      </c>
      <c r="I38" s="17">
        <v>3</v>
      </c>
      <c r="J38" s="17">
        <v>28</v>
      </c>
      <c r="L38" s="10">
        <f t="shared" si="0"/>
        <v>15</v>
      </c>
      <c r="M38" s="10">
        <f t="shared" si="1"/>
        <v>19</v>
      </c>
      <c r="N38" s="10">
        <f t="shared" si="2"/>
        <v>31</v>
      </c>
      <c r="O38" s="10">
        <f t="shared" si="3"/>
        <v>2</v>
      </c>
      <c r="Q38" s="10">
        <f t="shared" si="4"/>
        <v>24</v>
      </c>
      <c r="R38" s="10">
        <f t="shared" si="5"/>
        <v>13</v>
      </c>
      <c r="S38" s="10">
        <f t="shared" si="6"/>
        <v>28</v>
      </c>
      <c r="T38" s="10">
        <f t="shared" si="7"/>
        <v>0</v>
      </c>
      <c r="V38" s="10">
        <f t="shared" si="8"/>
        <v>7581</v>
      </c>
      <c r="X38" s="10">
        <f t="shared" si="9"/>
        <v>807705900</v>
      </c>
      <c r="Z38" s="4">
        <v>38</v>
      </c>
      <c r="AA38" s="4">
        <v>66</v>
      </c>
      <c r="AB38" s="5" t="str">
        <v>4apSnQI=</v>
      </c>
    </row>
    <row r="39" spans="1:28" x14ac:dyDescent="0.25">
      <c r="A39" s="3" t="s">
        <v>64</v>
      </c>
      <c r="B39" s="17">
        <v>0</v>
      </c>
      <c r="C39" s="17">
        <v>7</v>
      </c>
      <c r="D39" s="17">
        <v>0</v>
      </c>
      <c r="E39" s="17">
        <v>11</v>
      </c>
      <c r="F39" s="17">
        <v>0</v>
      </c>
      <c r="G39" s="17">
        <v>0</v>
      </c>
      <c r="H39" s="17">
        <v>0</v>
      </c>
      <c r="I39" s="17">
        <v>3</v>
      </c>
      <c r="J39" s="17">
        <v>28</v>
      </c>
      <c r="L39" s="10">
        <f t="shared" si="0"/>
        <v>7</v>
      </c>
      <c r="M39" s="10">
        <f t="shared" si="1"/>
        <v>11</v>
      </c>
      <c r="N39" s="10">
        <f t="shared" si="2"/>
        <v>31</v>
      </c>
      <c r="O39" s="10">
        <f t="shared" si="3"/>
        <v>18</v>
      </c>
      <c r="Q39" s="10">
        <f t="shared" si="4"/>
        <v>11</v>
      </c>
      <c r="R39" s="10">
        <f t="shared" si="5"/>
        <v>10</v>
      </c>
      <c r="S39" s="10">
        <f t="shared" si="6"/>
        <v>28</v>
      </c>
      <c r="T39" s="10">
        <f t="shared" si="7"/>
        <v>3</v>
      </c>
      <c r="V39" s="10">
        <f t="shared" si="8"/>
        <v>5771</v>
      </c>
      <c r="X39" s="10">
        <f t="shared" si="9"/>
        <v>669956966</v>
      </c>
      <c r="Z39" s="4">
        <v>0</v>
      </c>
      <c r="AA39" s="4">
        <v>13</v>
      </c>
      <c r="AB39" s="5" t="str">
        <v>0guQALk=</v>
      </c>
    </row>
    <row r="40" spans="1:28" x14ac:dyDescent="0.25">
      <c r="A40" s="3" t="s">
        <v>46</v>
      </c>
      <c r="B40" s="17">
        <v>13</v>
      </c>
      <c r="C40" s="17">
        <v>2</v>
      </c>
      <c r="D40" s="17">
        <v>0</v>
      </c>
      <c r="E40" s="17">
        <v>3</v>
      </c>
      <c r="F40" s="17">
        <v>9</v>
      </c>
      <c r="G40" s="17">
        <v>0</v>
      </c>
      <c r="H40" s="17">
        <v>0</v>
      </c>
      <c r="I40" s="17">
        <v>2</v>
      </c>
      <c r="J40" s="17">
        <v>28</v>
      </c>
      <c r="L40" s="10">
        <f t="shared" si="0"/>
        <v>15</v>
      </c>
      <c r="M40" s="10">
        <f t="shared" si="1"/>
        <v>12</v>
      </c>
      <c r="N40" s="10">
        <f t="shared" si="2"/>
        <v>30</v>
      </c>
      <c r="O40" s="10">
        <f t="shared" si="3"/>
        <v>8</v>
      </c>
      <c r="Q40" s="10">
        <f t="shared" si="4"/>
        <v>16</v>
      </c>
      <c r="R40" s="10">
        <f t="shared" si="5"/>
        <v>13</v>
      </c>
      <c r="S40" s="10">
        <f t="shared" si="6"/>
        <v>28</v>
      </c>
      <c r="T40" s="10">
        <f t="shared" si="7"/>
        <v>0</v>
      </c>
      <c r="V40" s="10">
        <f t="shared" si="8"/>
        <v>6709</v>
      </c>
      <c r="X40" s="10">
        <f t="shared" si="9"/>
        <v>766276900</v>
      </c>
      <c r="Z40" s="4">
        <v>63</v>
      </c>
      <c r="AA40" s="4">
        <v>14</v>
      </c>
      <c r="AB40" s="5" t="str">
        <v>0g8AALk=</v>
      </c>
    </row>
    <row r="41" spans="1:28" x14ac:dyDescent="0.25">
      <c r="A41" s="3" t="s">
        <v>55</v>
      </c>
      <c r="B41" s="17">
        <v>13</v>
      </c>
      <c r="C41" s="17">
        <v>2</v>
      </c>
      <c r="D41" s="17">
        <v>0</v>
      </c>
      <c r="E41" s="17">
        <v>15</v>
      </c>
      <c r="F41" s="17">
        <v>9</v>
      </c>
      <c r="G41" s="17">
        <v>0</v>
      </c>
      <c r="H41" s="17">
        <v>0</v>
      </c>
      <c r="I41" s="17">
        <v>2</v>
      </c>
      <c r="J41" s="17">
        <v>28</v>
      </c>
      <c r="L41" s="10">
        <f t="shared" si="0"/>
        <v>15</v>
      </c>
      <c r="M41" s="10">
        <f t="shared" si="1"/>
        <v>24</v>
      </c>
      <c r="N41" s="10">
        <f t="shared" si="2"/>
        <v>30</v>
      </c>
      <c r="O41" s="10">
        <f t="shared" si="3"/>
        <v>4</v>
      </c>
      <c r="Q41" s="10">
        <f t="shared" si="4"/>
        <v>28</v>
      </c>
      <c r="R41" s="10">
        <f t="shared" si="5"/>
        <v>13</v>
      </c>
      <c r="S41" s="10">
        <f t="shared" si="6"/>
        <v>28</v>
      </c>
      <c r="T41" s="10">
        <f t="shared" si="7"/>
        <v>0</v>
      </c>
      <c r="V41" s="10">
        <f t="shared" si="8"/>
        <v>8029</v>
      </c>
      <c r="X41" s="10">
        <f t="shared" si="9"/>
        <v>786921300</v>
      </c>
      <c r="Z41" s="4">
        <v>29</v>
      </c>
      <c r="AA41" s="4">
        <v>32</v>
      </c>
      <c r="AB41" s="5" t="str">
        <v>uwEAQLg=</v>
      </c>
    </row>
    <row r="42" spans="1:28" x14ac:dyDescent="0.25">
      <c r="A42" s="3" t="s">
        <v>63</v>
      </c>
      <c r="B42" s="17">
        <v>8</v>
      </c>
      <c r="C42" s="17">
        <v>12</v>
      </c>
      <c r="D42" s="17">
        <v>6</v>
      </c>
      <c r="E42" s="17">
        <v>12</v>
      </c>
      <c r="F42" s="17">
        <v>7</v>
      </c>
      <c r="G42" s="17">
        <v>15</v>
      </c>
      <c r="H42" s="17">
        <v>2</v>
      </c>
      <c r="I42" s="17">
        <v>17</v>
      </c>
      <c r="J42" s="17">
        <v>1</v>
      </c>
      <c r="L42" s="10">
        <f t="shared" si="0"/>
        <v>26</v>
      </c>
      <c r="M42" s="10">
        <f t="shared" si="1"/>
        <v>34</v>
      </c>
      <c r="N42" s="10">
        <f t="shared" si="2"/>
        <v>20</v>
      </c>
      <c r="O42" s="10">
        <f t="shared" si="3"/>
        <v>35</v>
      </c>
      <c r="Q42" s="10">
        <f t="shared" si="4"/>
        <v>22</v>
      </c>
      <c r="R42" s="10">
        <f t="shared" si="5"/>
        <v>36</v>
      </c>
      <c r="S42" s="10">
        <f t="shared" si="6"/>
        <v>22</v>
      </c>
      <c r="T42" s="10">
        <f t="shared" si="7"/>
        <v>0</v>
      </c>
      <c r="V42" s="10">
        <f t="shared" si="8"/>
        <v>10352</v>
      </c>
      <c r="X42" s="10">
        <f t="shared" si="9"/>
        <v>517712000</v>
      </c>
      <c r="Z42" s="4">
        <v>24</v>
      </c>
      <c r="AA42" s="4">
        <v>17</v>
      </c>
      <c r="AB42" s="5" t="str">
        <v>UguQALk=</v>
      </c>
    </row>
    <row r="43" spans="1:28" x14ac:dyDescent="0.25">
      <c r="A43" s="3" t="s">
        <v>53</v>
      </c>
      <c r="B43" s="17">
        <v>0</v>
      </c>
      <c r="C43" s="17">
        <v>2</v>
      </c>
      <c r="D43" s="17">
        <v>0</v>
      </c>
      <c r="E43" s="17">
        <v>11</v>
      </c>
      <c r="F43" s="17">
        <v>9</v>
      </c>
      <c r="G43" s="17">
        <v>0</v>
      </c>
      <c r="H43" s="17">
        <v>0</v>
      </c>
      <c r="I43" s="17">
        <v>2</v>
      </c>
      <c r="J43" s="17">
        <v>28</v>
      </c>
      <c r="L43" s="10">
        <f t="shared" si="0"/>
        <v>2</v>
      </c>
      <c r="M43" s="10">
        <f t="shared" si="1"/>
        <v>20</v>
      </c>
      <c r="N43" s="10">
        <f t="shared" si="2"/>
        <v>30</v>
      </c>
      <c r="O43" s="10">
        <f t="shared" si="3"/>
        <v>13</v>
      </c>
      <c r="Q43" s="10">
        <f t="shared" si="4"/>
        <v>11</v>
      </c>
      <c r="R43" s="10">
        <f t="shared" si="5"/>
        <v>13</v>
      </c>
      <c r="S43" s="10">
        <f t="shared" si="6"/>
        <v>28</v>
      </c>
      <c r="T43" s="10">
        <f t="shared" si="7"/>
        <v>0</v>
      </c>
      <c r="V43" s="10">
        <f t="shared" si="8"/>
        <v>6224</v>
      </c>
      <c r="X43" s="10">
        <f t="shared" si="9"/>
        <v>728850800</v>
      </c>
      <c r="Z43" s="4">
        <v>51</v>
      </c>
      <c r="AA43" s="4">
        <v>13</v>
      </c>
      <c r="AB43" s="5" t="str">
        <v>0gsAAPU=</v>
      </c>
    </row>
    <row r="44" spans="1:28" x14ac:dyDescent="0.25">
      <c r="A44" s="3" t="s">
        <v>70</v>
      </c>
      <c r="B44" s="17">
        <v>3</v>
      </c>
      <c r="C44" s="17">
        <v>11</v>
      </c>
      <c r="D44" s="17">
        <v>0</v>
      </c>
      <c r="E44" s="17">
        <v>11</v>
      </c>
      <c r="F44" s="17">
        <v>0</v>
      </c>
      <c r="G44" s="17">
        <v>0</v>
      </c>
      <c r="H44" s="17">
        <v>0</v>
      </c>
      <c r="I44" s="17">
        <v>3</v>
      </c>
      <c r="J44" s="17">
        <v>28</v>
      </c>
      <c r="L44" s="10">
        <f t="shared" si="0"/>
        <v>14</v>
      </c>
      <c r="M44" s="10">
        <f t="shared" si="1"/>
        <v>11</v>
      </c>
      <c r="N44" s="10">
        <f t="shared" si="2"/>
        <v>31</v>
      </c>
      <c r="O44" s="10">
        <f t="shared" si="3"/>
        <v>11</v>
      </c>
      <c r="Q44" s="10">
        <f t="shared" si="4"/>
        <v>14</v>
      </c>
      <c r="R44" s="10">
        <f t="shared" si="5"/>
        <v>14</v>
      </c>
      <c r="S44" s="10">
        <f t="shared" si="6"/>
        <v>28</v>
      </c>
      <c r="T44" s="10">
        <f t="shared" si="7"/>
        <v>0</v>
      </c>
      <c r="V44" s="10">
        <f t="shared" si="8"/>
        <v>6626</v>
      </c>
      <c r="X44" s="10">
        <f t="shared" si="9"/>
        <v>742028200</v>
      </c>
      <c r="Z44" s="4">
        <v>44</v>
      </c>
      <c r="AA44" s="4">
        <v>19</v>
      </c>
      <c r="AB44" s="5" t="str">
        <v>C0sQALk=</v>
      </c>
    </row>
    <row r="45" spans="1:28" x14ac:dyDescent="0.25">
      <c r="A45" s="3" t="s">
        <v>82</v>
      </c>
      <c r="B45" s="17">
        <v>13</v>
      </c>
      <c r="C45" s="17">
        <v>11</v>
      </c>
      <c r="D45" s="17">
        <v>0</v>
      </c>
      <c r="E45" s="17">
        <v>3</v>
      </c>
      <c r="F45" s="17">
        <v>9</v>
      </c>
      <c r="G45" s="17">
        <v>0</v>
      </c>
      <c r="H45" s="17">
        <v>0</v>
      </c>
      <c r="I45" s="17">
        <v>3</v>
      </c>
      <c r="J45" s="17">
        <v>28</v>
      </c>
      <c r="L45" s="10">
        <f t="shared" si="0"/>
        <v>24</v>
      </c>
      <c r="M45" s="10">
        <f t="shared" si="1"/>
        <v>12</v>
      </c>
      <c r="N45" s="10">
        <f t="shared" si="2"/>
        <v>31</v>
      </c>
      <c r="O45" s="10">
        <f t="shared" si="3"/>
        <v>18</v>
      </c>
      <c r="Q45" s="10">
        <f t="shared" si="4"/>
        <v>16</v>
      </c>
      <c r="R45" s="10">
        <f t="shared" si="5"/>
        <v>23</v>
      </c>
      <c r="S45" s="10">
        <f t="shared" si="6"/>
        <v>28</v>
      </c>
      <c r="T45" s="10">
        <f t="shared" si="7"/>
        <v>0</v>
      </c>
      <c r="V45" s="10">
        <f t="shared" si="8"/>
        <v>8056</v>
      </c>
      <c r="X45" s="10">
        <f t="shared" si="9"/>
        <v>671940500</v>
      </c>
      <c r="Z45" s="4">
        <v>15</v>
      </c>
      <c r="AA45" s="4">
        <v>39</v>
      </c>
      <c r="AB45" s="5" t="str">
        <v>MgsAAPg=</v>
      </c>
    </row>
    <row r="46" spans="1:28" x14ac:dyDescent="0.25">
      <c r="A46" s="3" t="s">
        <v>83</v>
      </c>
      <c r="B46" s="17">
        <v>1</v>
      </c>
      <c r="C46" s="17">
        <v>0</v>
      </c>
      <c r="D46" s="17">
        <v>8</v>
      </c>
      <c r="E46" s="17">
        <v>6</v>
      </c>
      <c r="F46" s="17">
        <v>0</v>
      </c>
      <c r="G46" s="17">
        <v>1</v>
      </c>
      <c r="H46" s="17">
        <v>18</v>
      </c>
      <c r="I46" s="17">
        <v>21</v>
      </c>
      <c r="J46" s="17">
        <v>1</v>
      </c>
      <c r="L46" s="10">
        <f t="shared" si="0"/>
        <v>9</v>
      </c>
      <c r="M46" s="10">
        <f t="shared" si="1"/>
        <v>7</v>
      </c>
      <c r="N46" s="10">
        <f t="shared" si="2"/>
        <v>40</v>
      </c>
      <c r="O46" s="10">
        <f t="shared" si="3"/>
        <v>29</v>
      </c>
      <c r="Q46" s="10">
        <f t="shared" si="4"/>
        <v>25</v>
      </c>
      <c r="R46" s="10">
        <f t="shared" si="5"/>
        <v>21</v>
      </c>
      <c r="S46" s="10">
        <f t="shared" si="6"/>
        <v>10</v>
      </c>
      <c r="T46" s="10">
        <f t="shared" si="7"/>
        <v>10</v>
      </c>
      <c r="V46" s="10">
        <f t="shared" si="8"/>
        <v>7353</v>
      </c>
      <c r="X46" s="10">
        <f t="shared" si="9"/>
        <v>528114130</v>
      </c>
      <c r="Z46" s="4">
        <v>52</v>
      </c>
      <c r="AA46" s="4">
        <v>51</v>
      </c>
      <c r="AB46" s="5" t="str">
        <v>1gsAALk=</v>
      </c>
    </row>
    <row r="47" spans="1:28" x14ac:dyDescent="0.25">
      <c r="A47" s="3" t="s">
        <v>54</v>
      </c>
      <c r="B47" s="17">
        <v>1</v>
      </c>
      <c r="C47" s="17">
        <v>2</v>
      </c>
      <c r="D47" s="17">
        <v>9</v>
      </c>
      <c r="E47" s="17">
        <v>15</v>
      </c>
      <c r="F47" s="17">
        <v>15</v>
      </c>
      <c r="G47" s="17">
        <v>3</v>
      </c>
      <c r="H47" s="17">
        <v>1</v>
      </c>
      <c r="I47" s="17">
        <v>16</v>
      </c>
      <c r="J47" s="17">
        <v>28</v>
      </c>
      <c r="L47" s="10">
        <f t="shared" si="0"/>
        <v>12</v>
      </c>
      <c r="M47" s="10">
        <f t="shared" si="1"/>
        <v>33</v>
      </c>
      <c r="N47" s="10">
        <f t="shared" si="2"/>
        <v>45</v>
      </c>
      <c r="O47" s="10">
        <f t="shared" si="3"/>
        <v>31</v>
      </c>
      <c r="Q47" s="10">
        <f t="shared" si="4"/>
        <v>17</v>
      </c>
      <c r="R47" s="10">
        <f t="shared" si="5"/>
        <v>33</v>
      </c>
      <c r="S47" s="10">
        <f t="shared" si="6"/>
        <v>40</v>
      </c>
      <c r="T47" s="10">
        <f t="shared" si="7"/>
        <v>0</v>
      </c>
      <c r="V47" s="10">
        <f t="shared" si="8"/>
        <v>11375</v>
      </c>
      <c r="X47" s="10">
        <f t="shared" si="9"/>
        <v>542512500</v>
      </c>
      <c r="Z47" s="4">
        <v>17</v>
      </c>
      <c r="AA47" s="4">
        <v>24</v>
      </c>
      <c r="AB47" s="5" t="str">
        <v>0huQILk=</v>
      </c>
    </row>
    <row r="48" spans="1:28" x14ac:dyDescent="0.25">
      <c r="A48" s="3" t="s">
        <v>84</v>
      </c>
      <c r="B48" s="17">
        <v>6</v>
      </c>
      <c r="C48" s="17">
        <v>12</v>
      </c>
      <c r="D48" s="17">
        <v>7</v>
      </c>
      <c r="E48" s="17">
        <v>9</v>
      </c>
      <c r="F48" s="17">
        <v>9</v>
      </c>
      <c r="G48" s="17">
        <v>1</v>
      </c>
      <c r="H48" s="17">
        <v>0</v>
      </c>
      <c r="I48" s="17">
        <v>2</v>
      </c>
      <c r="J48" s="17">
        <v>28</v>
      </c>
      <c r="L48" s="10">
        <f t="shared" si="0"/>
        <v>25</v>
      </c>
      <c r="M48" s="10">
        <f t="shared" si="1"/>
        <v>19</v>
      </c>
      <c r="N48" s="10">
        <f t="shared" si="2"/>
        <v>30</v>
      </c>
      <c r="O48" s="10">
        <f t="shared" si="3"/>
        <v>11</v>
      </c>
      <c r="Q48" s="10">
        <f t="shared" si="4"/>
        <v>15</v>
      </c>
      <c r="R48" s="10">
        <f t="shared" si="5"/>
        <v>23</v>
      </c>
      <c r="S48" s="10">
        <f t="shared" si="6"/>
        <v>36</v>
      </c>
      <c r="T48" s="10">
        <f t="shared" si="7"/>
        <v>0</v>
      </c>
      <c r="V48" s="10">
        <f t="shared" si="8"/>
        <v>9192</v>
      </c>
      <c r="X48" s="10">
        <f t="shared" si="9"/>
        <v>719191100</v>
      </c>
      <c r="Z48" s="4">
        <v>11</v>
      </c>
      <c r="AA48" s="4">
        <v>53</v>
      </c>
      <c r="AB48" s="5" t="str">
        <v>AgOQBLg=</v>
      </c>
    </row>
    <row r="49" spans="1:28" x14ac:dyDescent="0.25">
      <c r="A49" s="3" t="s">
        <v>38</v>
      </c>
      <c r="B49" s="17">
        <v>11</v>
      </c>
      <c r="C49" s="17">
        <v>11</v>
      </c>
      <c r="D49" s="17">
        <v>8</v>
      </c>
      <c r="E49" s="17">
        <v>0</v>
      </c>
      <c r="F49" s="17">
        <v>14</v>
      </c>
      <c r="G49" s="17">
        <v>7</v>
      </c>
      <c r="H49" s="17">
        <v>7</v>
      </c>
      <c r="I49" s="17">
        <v>28</v>
      </c>
      <c r="J49" s="17">
        <v>0</v>
      </c>
      <c r="L49" s="10">
        <f t="shared" si="0"/>
        <v>30</v>
      </c>
      <c r="M49" s="10">
        <f t="shared" si="1"/>
        <v>21</v>
      </c>
      <c r="N49" s="10">
        <f t="shared" si="2"/>
        <v>35</v>
      </c>
      <c r="O49" s="10">
        <f t="shared" si="3"/>
        <v>21</v>
      </c>
      <c r="Q49" s="10">
        <f t="shared" si="4"/>
        <v>18</v>
      </c>
      <c r="R49" s="10">
        <f t="shared" si="5"/>
        <v>53</v>
      </c>
      <c r="S49" s="10">
        <f t="shared" si="6"/>
        <v>15</v>
      </c>
      <c r="T49" s="10">
        <f t="shared" si="7"/>
        <v>5</v>
      </c>
      <c r="V49" s="10">
        <f t="shared" si="8"/>
        <v>11389</v>
      </c>
      <c r="X49" s="10">
        <f t="shared" si="9"/>
        <v>589975355</v>
      </c>
      <c r="Z49" s="4">
        <v>13</v>
      </c>
      <c r="AA49" s="4">
        <v>26</v>
      </c>
      <c r="AB49" s="5" t="str">
        <v>AwuQALk=</v>
      </c>
    </row>
    <row r="50" spans="1:28" x14ac:dyDescent="0.25">
      <c r="A50" s="3" t="s">
        <v>85</v>
      </c>
      <c r="B50" s="17">
        <v>1</v>
      </c>
      <c r="C50" s="17">
        <v>0</v>
      </c>
      <c r="D50" s="17">
        <v>8</v>
      </c>
      <c r="E50" s="17">
        <v>6</v>
      </c>
      <c r="F50" s="17">
        <v>6</v>
      </c>
      <c r="G50" s="17">
        <v>9</v>
      </c>
      <c r="H50" s="17">
        <v>1</v>
      </c>
      <c r="I50" s="17">
        <v>27</v>
      </c>
      <c r="J50" s="17">
        <v>26</v>
      </c>
      <c r="L50" s="10">
        <f t="shared" si="0"/>
        <v>9</v>
      </c>
      <c r="M50" s="10">
        <f t="shared" si="1"/>
        <v>21</v>
      </c>
      <c r="N50" s="10">
        <f t="shared" si="2"/>
        <v>54</v>
      </c>
      <c r="O50" s="10">
        <f t="shared" si="3"/>
        <v>31</v>
      </c>
      <c r="Q50" s="10">
        <f t="shared" si="4"/>
        <v>8</v>
      </c>
      <c r="R50" s="10">
        <f t="shared" si="5"/>
        <v>33</v>
      </c>
      <c r="S50" s="10">
        <f t="shared" si="6"/>
        <v>43</v>
      </c>
      <c r="T50" s="10">
        <f t="shared" si="7"/>
        <v>2</v>
      </c>
      <c r="V50" s="10">
        <f t="shared" si="8"/>
        <v>10746</v>
      </c>
      <c r="X50" s="10">
        <f t="shared" si="9"/>
        <v>535915448</v>
      </c>
      <c r="Z50" s="4">
        <v>73</v>
      </c>
      <c r="AA50" s="4">
        <v>9</v>
      </c>
      <c r="AB50" s="5" t="str">
        <v>bB+RALg=</v>
      </c>
    </row>
    <row r="51" spans="1:28" x14ac:dyDescent="0.25">
      <c r="A51" s="3" t="s">
        <v>42</v>
      </c>
      <c r="B51" s="17">
        <v>13</v>
      </c>
      <c r="C51" s="17">
        <v>2</v>
      </c>
      <c r="D51" s="17">
        <v>0</v>
      </c>
      <c r="E51" s="17">
        <v>11</v>
      </c>
      <c r="F51" s="17">
        <v>9</v>
      </c>
      <c r="G51" s="17">
        <v>0</v>
      </c>
      <c r="H51" s="17">
        <v>7</v>
      </c>
      <c r="I51" s="17">
        <v>0</v>
      </c>
      <c r="J51" s="17">
        <v>0</v>
      </c>
      <c r="L51" s="10">
        <f t="shared" si="0"/>
        <v>15</v>
      </c>
      <c r="M51" s="10">
        <f t="shared" si="1"/>
        <v>20</v>
      </c>
      <c r="N51" s="10">
        <f t="shared" si="2"/>
        <v>7</v>
      </c>
      <c r="O51" s="10">
        <f t="shared" si="3"/>
        <v>23</v>
      </c>
      <c r="Q51" s="10">
        <f t="shared" si="4"/>
        <v>31</v>
      </c>
      <c r="R51" s="10">
        <f t="shared" si="5"/>
        <v>11</v>
      </c>
      <c r="S51" s="10">
        <f t="shared" si="6"/>
        <v>0</v>
      </c>
      <c r="T51" s="10">
        <f t="shared" si="7"/>
        <v>22</v>
      </c>
      <c r="V51" s="10">
        <f t="shared" si="8"/>
        <v>5015</v>
      </c>
      <c r="X51" s="10">
        <f t="shared" si="9"/>
        <v>510419510</v>
      </c>
      <c r="Z51" s="4">
        <v>3</v>
      </c>
      <c r="AA51" s="4">
        <v>3</v>
      </c>
      <c r="AB51" s="5" t="str">
        <v>AwuQALg=</v>
      </c>
    </row>
    <row r="52" spans="1:28" x14ac:dyDescent="0.25">
      <c r="A52" s="3" t="s">
        <v>86</v>
      </c>
      <c r="B52" s="17">
        <v>0</v>
      </c>
      <c r="C52" s="17">
        <v>11</v>
      </c>
      <c r="D52" s="17">
        <v>12</v>
      </c>
      <c r="E52" s="17">
        <v>14</v>
      </c>
      <c r="F52" s="17">
        <v>4</v>
      </c>
      <c r="G52" s="17">
        <v>2</v>
      </c>
      <c r="H52" s="17">
        <v>22</v>
      </c>
      <c r="I52" s="17">
        <v>17</v>
      </c>
      <c r="J52" s="17">
        <v>1</v>
      </c>
      <c r="L52" s="10">
        <f t="shared" si="0"/>
        <v>23</v>
      </c>
      <c r="M52" s="10">
        <f t="shared" si="1"/>
        <v>20</v>
      </c>
      <c r="N52" s="10">
        <f t="shared" si="2"/>
        <v>40</v>
      </c>
      <c r="O52" s="10">
        <f t="shared" si="3"/>
        <v>18</v>
      </c>
      <c r="Q52" s="10">
        <f t="shared" si="4"/>
        <v>36</v>
      </c>
      <c r="R52" s="10">
        <f t="shared" si="5"/>
        <v>32</v>
      </c>
      <c r="S52" s="10">
        <f t="shared" si="6"/>
        <v>15</v>
      </c>
      <c r="T52" s="10">
        <f t="shared" si="7"/>
        <v>5</v>
      </c>
      <c r="V52" s="10">
        <f t="shared" si="8"/>
        <v>10914</v>
      </c>
      <c r="X52" s="10">
        <f t="shared" si="9"/>
        <v>616079840</v>
      </c>
      <c r="Z52" s="4">
        <v>79</v>
      </c>
      <c r="AA52" s="4">
        <v>6</v>
      </c>
      <c r="AB52" s="5" t="str">
        <v>XtdSUbM=</v>
      </c>
    </row>
    <row r="53" spans="1:28" x14ac:dyDescent="0.25">
      <c r="A53" s="3" t="s">
        <v>41</v>
      </c>
      <c r="B53" s="17">
        <v>13</v>
      </c>
      <c r="C53" s="17">
        <v>2</v>
      </c>
      <c r="D53" s="17">
        <v>0</v>
      </c>
      <c r="E53" s="17">
        <v>11</v>
      </c>
      <c r="F53" s="17">
        <v>0</v>
      </c>
      <c r="G53" s="17">
        <v>0</v>
      </c>
      <c r="H53" s="17">
        <v>0</v>
      </c>
      <c r="I53" s="17">
        <v>3</v>
      </c>
      <c r="J53" s="17">
        <v>26</v>
      </c>
      <c r="L53" s="10">
        <f t="shared" si="0"/>
        <v>15</v>
      </c>
      <c r="M53" s="10">
        <f t="shared" si="1"/>
        <v>11</v>
      </c>
      <c r="N53" s="10">
        <f t="shared" si="2"/>
        <v>29</v>
      </c>
      <c r="O53" s="10">
        <f t="shared" si="3"/>
        <v>10</v>
      </c>
      <c r="Q53" s="10">
        <f t="shared" si="4"/>
        <v>24</v>
      </c>
      <c r="R53" s="10">
        <f t="shared" si="5"/>
        <v>5</v>
      </c>
      <c r="S53" s="10">
        <f t="shared" si="6"/>
        <v>26</v>
      </c>
      <c r="T53" s="10">
        <f t="shared" si="7"/>
        <v>8</v>
      </c>
      <c r="V53" s="10">
        <f t="shared" si="8"/>
        <v>6231</v>
      </c>
      <c r="X53" s="10">
        <f t="shared" si="9"/>
        <v>693606920</v>
      </c>
      <c r="Z53" s="4">
        <v>17</v>
      </c>
      <c r="AA53" s="4">
        <v>2</v>
      </c>
      <c r="AB53" s="5" t="str">
        <v>AAuQAEc=</v>
      </c>
    </row>
    <row r="54" spans="1:28" x14ac:dyDescent="0.25">
      <c r="A54" s="3" t="s">
        <v>61</v>
      </c>
      <c r="B54" s="17">
        <v>8</v>
      </c>
      <c r="C54" s="17">
        <v>0</v>
      </c>
      <c r="D54" s="17">
        <v>8</v>
      </c>
      <c r="E54" s="17">
        <v>14</v>
      </c>
      <c r="F54" s="17">
        <v>12</v>
      </c>
      <c r="G54" s="17">
        <v>0</v>
      </c>
      <c r="H54" s="17">
        <v>9</v>
      </c>
      <c r="I54" s="17">
        <v>20</v>
      </c>
      <c r="J54" s="17">
        <v>8</v>
      </c>
      <c r="L54" s="10">
        <f t="shared" si="0"/>
        <v>16</v>
      </c>
      <c r="M54" s="10">
        <f t="shared" si="1"/>
        <v>26</v>
      </c>
      <c r="N54" s="10">
        <f t="shared" si="2"/>
        <v>37</v>
      </c>
      <c r="O54" s="10">
        <f t="shared" si="3"/>
        <v>14</v>
      </c>
      <c r="Q54" s="10">
        <f t="shared" si="4"/>
        <v>31</v>
      </c>
      <c r="R54" s="10">
        <f t="shared" si="5"/>
        <v>32</v>
      </c>
      <c r="S54" s="10">
        <f t="shared" si="6"/>
        <v>16</v>
      </c>
      <c r="T54" s="10">
        <f t="shared" si="7"/>
        <v>4</v>
      </c>
      <c r="V54" s="10">
        <f t="shared" si="8"/>
        <v>10014</v>
      </c>
      <c r="X54" s="10">
        <f t="shared" si="9"/>
        <v>660364216</v>
      </c>
      <c r="Z54" s="4">
        <v>73</v>
      </c>
      <c r="AA54" s="4">
        <v>2</v>
      </c>
      <c r="AB54" s="5" t="str">
        <v>0guQAAA=</v>
      </c>
    </row>
    <row r="55" spans="1:28" x14ac:dyDescent="0.25">
      <c r="A55" s="3" t="s">
        <v>48</v>
      </c>
      <c r="B55" s="17">
        <v>13</v>
      </c>
      <c r="C55" s="17">
        <v>2</v>
      </c>
      <c r="D55" s="17">
        <v>0</v>
      </c>
      <c r="E55" s="17">
        <v>11</v>
      </c>
      <c r="F55" s="17">
        <v>9</v>
      </c>
      <c r="G55" s="17">
        <v>0</v>
      </c>
      <c r="H55" s="17">
        <v>0</v>
      </c>
      <c r="I55" s="17">
        <v>3</v>
      </c>
      <c r="J55" s="17">
        <v>0</v>
      </c>
      <c r="L55" s="10">
        <f t="shared" si="0"/>
        <v>15</v>
      </c>
      <c r="M55" s="10">
        <f t="shared" si="1"/>
        <v>20</v>
      </c>
      <c r="N55" s="10">
        <f t="shared" si="2"/>
        <v>3</v>
      </c>
      <c r="O55" s="10">
        <f t="shared" si="3"/>
        <v>27</v>
      </c>
      <c r="Q55" s="10">
        <f t="shared" si="4"/>
        <v>24</v>
      </c>
      <c r="R55" s="10">
        <f t="shared" si="5"/>
        <v>14</v>
      </c>
      <c r="S55" s="10">
        <f t="shared" si="6"/>
        <v>0</v>
      </c>
      <c r="T55" s="10">
        <f t="shared" si="7"/>
        <v>20</v>
      </c>
      <c r="V55" s="10">
        <f t="shared" si="8"/>
        <v>4501</v>
      </c>
      <c r="X55" s="10">
        <f t="shared" si="9"/>
        <v>499313760</v>
      </c>
      <c r="Z55" s="4">
        <v>55</v>
      </c>
      <c r="AA55" s="4">
        <v>33</v>
      </c>
      <c r="AB55" s="5" t="str">
        <v>BguAAPg=</v>
      </c>
    </row>
    <row r="56" spans="1:28" x14ac:dyDescent="0.25">
      <c r="A56" s="3" t="s">
        <v>87</v>
      </c>
      <c r="B56" s="17">
        <v>13</v>
      </c>
      <c r="C56" s="17">
        <v>6</v>
      </c>
      <c r="D56" s="17">
        <v>0</v>
      </c>
      <c r="E56" s="17">
        <v>11</v>
      </c>
      <c r="F56" s="17">
        <v>9</v>
      </c>
      <c r="G56" s="17">
        <v>0</v>
      </c>
      <c r="H56" s="17">
        <v>0</v>
      </c>
      <c r="I56" s="17">
        <v>3</v>
      </c>
      <c r="J56" s="17">
        <v>26</v>
      </c>
      <c r="L56" s="10">
        <f t="shared" si="0"/>
        <v>19</v>
      </c>
      <c r="M56" s="10">
        <f t="shared" si="1"/>
        <v>20</v>
      </c>
      <c r="N56" s="10">
        <f t="shared" si="2"/>
        <v>29</v>
      </c>
      <c r="O56" s="10">
        <f t="shared" si="3"/>
        <v>5</v>
      </c>
      <c r="Q56" s="10">
        <f t="shared" si="4"/>
        <v>24</v>
      </c>
      <c r="R56" s="10">
        <f t="shared" si="5"/>
        <v>18</v>
      </c>
      <c r="S56" s="10">
        <f t="shared" si="6"/>
        <v>26</v>
      </c>
      <c r="T56" s="10">
        <f t="shared" si="7"/>
        <v>0</v>
      </c>
      <c r="V56" s="10">
        <f t="shared" si="8"/>
        <v>8031</v>
      </c>
      <c r="X56" s="10">
        <f t="shared" si="9"/>
        <v>778705200</v>
      </c>
      <c r="Z56" s="4">
        <v>57</v>
      </c>
      <c r="AA56" s="4">
        <v>13</v>
      </c>
      <c r="AB56" s="5" t="str">
        <v>0gsAVAE=</v>
      </c>
    </row>
    <row r="57" spans="1:28" x14ac:dyDescent="0.25">
      <c r="A57" s="3" t="s">
        <v>88</v>
      </c>
      <c r="B57" s="17">
        <v>3</v>
      </c>
      <c r="C57" s="17">
        <v>12</v>
      </c>
      <c r="D57" s="17">
        <v>0</v>
      </c>
      <c r="E57" s="17">
        <v>14</v>
      </c>
      <c r="F57" s="17">
        <v>9</v>
      </c>
      <c r="G57" s="17">
        <v>0</v>
      </c>
      <c r="H57" s="17">
        <v>0</v>
      </c>
      <c r="I57" s="17">
        <v>2</v>
      </c>
      <c r="J57" s="17">
        <v>28</v>
      </c>
      <c r="L57" s="10">
        <f t="shared" si="0"/>
        <v>15</v>
      </c>
      <c r="M57" s="10">
        <f t="shared" si="1"/>
        <v>23</v>
      </c>
      <c r="N57" s="10">
        <f t="shared" si="2"/>
        <v>30</v>
      </c>
      <c r="O57" s="10">
        <f t="shared" si="3"/>
        <v>3</v>
      </c>
      <c r="Q57" s="10">
        <f t="shared" si="4"/>
        <v>17</v>
      </c>
      <c r="R57" s="10">
        <f t="shared" si="5"/>
        <v>23</v>
      </c>
      <c r="S57" s="10">
        <f t="shared" si="6"/>
        <v>28</v>
      </c>
      <c r="T57" s="10">
        <f t="shared" si="7"/>
        <v>0</v>
      </c>
      <c r="V57" s="10">
        <f t="shared" si="8"/>
        <v>8219</v>
      </c>
      <c r="X57" s="10">
        <f t="shared" si="9"/>
        <v>793275400</v>
      </c>
      <c r="Z57" s="4">
        <v>53</v>
      </c>
      <c r="AA57" s="4">
        <v>71</v>
      </c>
      <c r="AB57" s="5" t="str">
        <v>4o7ATRE=</v>
      </c>
    </row>
    <row r="58" spans="1:28" x14ac:dyDescent="0.25">
      <c r="A58" s="3" t="s">
        <v>89</v>
      </c>
      <c r="B58" s="17">
        <v>0</v>
      </c>
      <c r="C58" s="17">
        <v>2</v>
      </c>
      <c r="D58" s="17">
        <v>2</v>
      </c>
      <c r="E58" s="17">
        <v>11</v>
      </c>
      <c r="F58" s="17">
        <v>1</v>
      </c>
      <c r="G58" s="17">
        <v>15</v>
      </c>
      <c r="H58" s="17">
        <v>0</v>
      </c>
      <c r="I58" s="17">
        <v>4</v>
      </c>
      <c r="J58" s="17">
        <v>0</v>
      </c>
      <c r="L58" s="10">
        <f t="shared" si="0"/>
        <v>4</v>
      </c>
      <c r="M58" s="10">
        <f t="shared" si="1"/>
        <v>27</v>
      </c>
      <c r="N58" s="10">
        <f t="shared" si="2"/>
        <v>4</v>
      </c>
      <c r="O58" s="10">
        <f t="shared" si="3"/>
        <v>44</v>
      </c>
      <c r="Q58" s="10">
        <f t="shared" si="4"/>
        <v>11</v>
      </c>
      <c r="R58" s="10">
        <f t="shared" si="5"/>
        <v>7</v>
      </c>
      <c r="S58" s="10">
        <f t="shared" si="6"/>
        <v>17</v>
      </c>
      <c r="T58" s="10">
        <f t="shared" si="7"/>
        <v>9</v>
      </c>
      <c r="V58" s="10">
        <f t="shared" si="8"/>
        <v>4509</v>
      </c>
      <c r="X58" s="10">
        <f t="shared" si="9"/>
        <v>435661836</v>
      </c>
      <c r="Z58" s="4">
        <v>49</v>
      </c>
      <c r="AA58" s="4">
        <v>70</v>
      </c>
      <c r="AB58" s="5" t="str">
        <v>gD5/M/o=</v>
      </c>
    </row>
    <row r="59" spans="1:28" x14ac:dyDescent="0.25">
      <c r="A59" s="3" t="s">
        <v>69</v>
      </c>
      <c r="B59" s="17">
        <v>0</v>
      </c>
      <c r="C59" s="17">
        <v>1</v>
      </c>
      <c r="D59" s="17">
        <v>2</v>
      </c>
      <c r="E59" s="17">
        <v>11</v>
      </c>
      <c r="F59" s="17">
        <v>1</v>
      </c>
      <c r="G59" s="17">
        <v>15</v>
      </c>
      <c r="H59" s="17">
        <v>0</v>
      </c>
      <c r="I59" s="17">
        <v>0</v>
      </c>
      <c r="J59" s="17">
        <v>28</v>
      </c>
      <c r="L59" s="10">
        <f t="shared" si="0"/>
        <v>3</v>
      </c>
      <c r="M59" s="10">
        <f t="shared" si="1"/>
        <v>27</v>
      </c>
      <c r="N59" s="10">
        <f t="shared" si="2"/>
        <v>28</v>
      </c>
      <c r="O59" s="10">
        <f t="shared" si="3"/>
        <v>21</v>
      </c>
      <c r="Q59" s="10">
        <f t="shared" si="4"/>
        <v>11</v>
      </c>
      <c r="R59" s="10">
        <f t="shared" si="5"/>
        <v>2</v>
      </c>
      <c r="S59" s="10">
        <f t="shared" si="6"/>
        <v>45</v>
      </c>
      <c r="T59" s="10">
        <f t="shared" si="7"/>
        <v>11</v>
      </c>
      <c r="V59" s="10">
        <f t="shared" si="8"/>
        <v>7066</v>
      </c>
      <c r="X59" s="10">
        <f t="shared" si="9"/>
        <v>583108654</v>
      </c>
      <c r="Z59" s="4">
        <v>23</v>
      </c>
      <c r="AA59" s="4">
        <v>28</v>
      </c>
      <c r="AB59" s="5" t="str">
        <v>Ig8AM/g=</v>
      </c>
    </row>
    <row r="60" spans="1:28" x14ac:dyDescent="0.25">
      <c r="A60" s="3" t="s">
        <v>90</v>
      </c>
      <c r="B60" s="17">
        <v>0</v>
      </c>
      <c r="C60" s="17">
        <v>6</v>
      </c>
      <c r="D60" s="17">
        <v>0</v>
      </c>
      <c r="E60" s="17">
        <v>3</v>
      </c>
      <c r="F60" s="17">
        <v>15</v>
      </c>
      <c r="G60" s="17">
        <v>8</v>
      </c>
      <c r="H60" s="17">
        <v>6</v>
      </c>
      <c r="I60" s="17">
        <v>24</v>
      </c>
      <c r="J60" s="17">
        <v>0</v>
      </c>
      <c r="L60" s="10">
        <f t="shared" si="0"/>
        <v>6</v>
      </c>
      <c r="M60" s="10">
        <f t="shared" si="1"/>
        <v>26</v>
      </c>
      <c r="N60" s="10">
        <f t="shared" si="2"/>
        <v>30</v>
      </c>
      <c r="O60" s="10">
        <f t="shared" si="3"/>
        <v>15</v>
      </c>
      <c r="Q60" s="10">
        <f t="shared" si="4"/>
        <v>9</v>
      </c>
      <c r="R60" s="10">
        <f t="shared" si="5"/>
        <v>45</v>
      </c>
      <c r="S60" s="10">
        <f t="shared" si="6"/>
        <v>8</v>
      </c>
      <c r="T60" s="10">
        <f t="shared" si="7"/>
        <v>13</v>
      </c>
      <c r="V60" s="10">
        <f t="shared" si="8"/>
        <v>8284</v>
      </c>
      <c r="X60" s="10">
        <f t="shared" si="9"/>
        <v>604289520</v>
      </c>
      <c r="Z60" s="4">
        <v>69</v>
      </c>
      <c r="AA60" s="4">
        <v>82</v>
      </c>
      <c r="AB60" s="5" t="str">
        <v>C84Ahj0=</v>
      </c>
    </row>
    <row r="61" spans="1:28" x14ac:dyDescent="0.25">
      <c r="A61" s="3" t="s">
        <v>91</v>
      </c>
      <c r="B61" s="17">
        <v>5</v>
      </c>
      <c r="C61" s="17">
        <v>14</v>
      </c>
      <c r="D61" s="17">
        <v>13</v>
      </c>
      <c r="E61" s="17">
        <v>7</v>
      </c>
      <c r="F61" s="17">
        <v>5</v>
      </c>
      <c r="G61" s="17">
        <v>2</v>
      </c>
      <c r="H61" s="17">
        <v>0</v>
      </c>
      <c r="I61" s="17">
        <v>5</v>
      </c>
      <c r="J61" s="17">
        <v>12</v>
      </c>
      <c r="L61" s="10">
        <f t="shared" si="0"/>
        <v>32</v>
      </c>
      <c r="M61" s="10">
        <f t="shared" si="1"/>
        <v>14</v>
      </c>
      <c r="N61" s="10">
        <f t="shared" si="2"/>
        <v>17</v>
      </c>
      <c r="O61" s="10">
        <f t="shared" si="3"/>
        <v>36</v>
      </c>
      <c r="Q61" s="10">
        <f t="shared" si="4"/>
        <v>12</v>
      </c>
      <c r="R61" s="10">
        <f t="shared" si="5"/>
        <v>24</v>
      </c>
      <c r="S61" s="10">
        <f t="shared" si="6"/>
        <v>27</v>
      </c>
      <c r="T61" s="10">
        <f t="shared" si="7"/>
        <v>0</v>
      </c>
      <c r="V61" s="10">
        <f t="shared" si="8"/>
        <v>8188</v>
      </c>
      <c r="X61" s="10">
        <f t="shared" si="9"/>
        <v>523596700</v>
      </c>
      <c r="Z61" s="4">
        <v>60</v>
      </c>
      <c r="AA61" s="4">
        <v>75</v>
      </c>
      <c r="AB61" s="5" t="str">
        <v>Be+/Dkc=</v>
      </c>
    </row>
    <row r="62" spans="1:28" x14ac:dyDescent="0.25">
      <c r="A62" s="3" t="s">
        <v>40</v>
      </c>
      <c r="B62" s="17">
        <v>8</v>
      </c>
      <c r="C62" s="17">
        <v>12</v>
      </c>
      <c r="D62" s="17">
        <v>6</v>
      </c>
      <c r="E62" s="17">
        <v>12</v>
      </c>
      <c r="F62" s="17">
        <v>7</v>
      </c>
      <c r="G62" s="17">
        <v>15</v>
      </c>
      <c r="H62" s="17">
        <v>10</v>
      </c>
      <c r="I62" s="17">
        <v>16</v>
      </c>
      <c r="J62" s="17">
        <v>0</v>
      </c>
      <c r="L62" s="10">
        <f t="shared" si="0"/>
        <v>26</v>
      </c>
      <c r="M62" s="10">
        <f t="shared" si="1"/>
        <v>34</v>
      </c>
      <c r="N62" s="10">
        <f t="shared" si="2"/>
        <v>26</v>
      </c>
      <c r="O62" s="10">
        <f t="shared" si="3"/>
        <v>29</v>
      </c>
      <c r="Q62" s="10">
        <f t="shared" si="4"/>
        <v>30</v>
      </c>
      <c r="R62" s="10">
        <f t="shared" si="5"/>
        <v>35</v>
      </c>
      <c r="S62" s="10">
        <f t="shared" si="6"/>
        <v>21</v>
      </c>
      <c r="T62" s="10">
        <f t="shared" si="7"/>
        <v>0</v>
      </c>
      <c r="V62" s="10">
        <f t="shared" si="8"/>
        <v>11145</v>
      </c>
      <c r="X62" s="10">
        <f t="shared" si="9"/>
        <v>559870400</v>
      </c>
      <c r="Z62" s="4">
        <v>42</v>
      </c>
      <c r="AA62" s="4">
        <v>16</v>
      </c>
      <c r="AB62" s="5" t="str">
        <v>Ep8DALk=</v>
      </c>
    </row>
    <row r="63" spans="1:28" x14ac:dyDescent="0.25">
      <c r="A63" s="3" t="s">
        <v>39</v>
      </c>
      <c r="B63" s="17">
        <v>13</v>
      </c>
      <c r="C63" s="17">
        <v>2</v>
      </c>
      <c r="D63" s="17">
        <v>0</v>
      </c>
      <c r="E63" s="17">
        <v>11</v>
      </c>
      <c r="F63" s="17">
        <v>1</v>
      </c>
      <c r="G63" s="17">
        <v>0</v>
      </c>
      <c r="H63" s="17">
        <v>20</v>
      </c>
      <c r="I63" s="17">
        <v>9</v>
      </c>
      <c r="J63" s="17">
        <v>3</v>
      </c>
      <c r="L63" s="10">
        <f t="shared" si="0"/>
        <v>15</v>
      </c>
      <c r="M63" s="10">
        <f t="shared" si="1"/>
        <v>12</v>
      </c>
      <c r="N63" s="10">
        <f t="shared" si="2"/>
        <v>32</v>
      </c>
      <c r="O63" s="10">
        <f t="shared" si="3"/>
        <v>10</v>
      </c>
      <c r="Q63" s="10">
        <f t="shared" si="4"/>
        <v>44</v>
      </c>
      <c r="R63" s="10">
        <f t="shared" si="5"/>
        <v>12</v>
      </c>
      <c r="S63" s="10">
        <f t="shared" si="6"/>
        <v>3</v>
      </c>
      <c r="T63" s="10">
        <f t="shared" si="7"/>
        <v>18</v>
      </c>
      <c r="V63" s="10">
        <f t="shared" si="8"/>
        <v>7118</v>
      </c>
      <c r="X63" s="10">
        <f t="shared" si="9"/>
        <v>611668960</v>
      </c>
      <c r="Z63" s="4">
        <v>38</v>
      </c>
      <c r="AA63" s="4">
        <v>63</v>
      </c>
      <c r="AB63" s="5" t="str">
        <v>AguQPIM=</v>
      </c>
    </row>
    <row r="64" spans="1:28" x14ac:dyDescent="0.25">
      <c r="A64" s="3" t="s">
        <v>72</v>
      </c>
      <c r="B64" s="17">
        <v>13</v>
      </c>
      <c r="C64" s="17">
        <v>2</v>
      </c>
      <c r="D64" s="17">
        <v>0</v>
      </c>
      <c r="E64" s="17">
        <v>11</v>
      </c>
      <c r="F64" s="17">
        <v>1</v>
      </c>
      <c r="G64" s="17">
        <v>14</v>
      </c>
      <c r="H64" s="17">
        <v>2</v>
      </c>
      <c r="I64" s="17">
        <v>0</v>
      </c>
      <c r="J64" s="17">
        <v>28</v>
      </c>
      <c r="L64" s="10">
        <f t="shared" si="0"/>
        <v>15</v>
      </c>
      <c r="M64" s="10">
        <f t="shared" si="1"/>
        <v>26</v>
      </c>
      <c r="N64" s="10">
        <f t="shared" si="2"/>
        <v>30</v>
      </c>
      <c r="O64" s="10">
        <f t="shared" si="3"/>
        <v>6</v>
      </c>
      <c r="Q64" s="10">
        <f t="shared" si="4"/>
        <v>26</v>
      </c>
      <c r="R64" s="10">
        <f t="shared" si="5"/>
        <v>3</v>
      </c>
      <c r="S64" s="10">
        <f t="shared" si="6"/>
        <v>42</v>
      </c>
      <c r="T64" s="10">
        <f t="shared" si="7"/>
        <v>10</v>
      </c>
      <c r="V64" s="10">
        <f t="shared" si="8"/>
        <v>8383</v>
      </c>
      <c r="X64" s="10">
        <f t="shared" si="9"/>
        <v>690479620</v>
      </c>
      <c r="Z64" s="4">
        <v>37</v>
      </c>
      <c r="AA64" s="4">
        <v>7</v>
      </c>
      <c r="AB64" s="5" t="str">
        <v>0guQQAA=</v>
      </c>
    </row>
    <row r="65" spans="1:28" x14ac:dyDescent="0.25">
      <c r="A65" s="3" t="s">
        <v>58</v>
      </c>
      <c r="B65" s="17">
        <v>13</v>
      </c>
      <c r="C65" s="17">
        <v>2</v>
      </c>
      <c r="D65" s="17">
        <v>0</v>
      </c>
      <c r="E65" s="17">
        <v>1</v>
      </c>
      <c r="F65" s="17">
        <v>1</v>
      </c>
      <c r="G65" s="17">
        <v>15</v>
      </c>
      <c r="H65" s="17">
        <v>20</v>
      </c>
      <c r="I65" s="17">
        <v>9</v>
      </c>
      <c r="J65" s="17">
        <v>3</v>
      </c>
      <c r="L65" s="10">
        <f t="shared" si="0"/>
        <v>15</v>
      </c>
      <c r="M65" s="10">
        <f t="shared" si="1"/>
        <v>17</v>
      </c>
      <c r="N65" s="10">
        <f t="shared" si="2"/>
        <v>32</v>
      </c>
      <c r="O65" s="10">
        <f t="shared" si="3"/>
        <v>5</v>
      </c>
      <c r="Q65" s="10">
        <f t="shared" si="4"/>
        <v>34</v>
      </c>
      <c r="R65" s="10">
        <f t="shared" si="5"/>
        <v>12</v>
      </c>
      <c r="S65" s="10">
        <f t="shared" si="6"/>
        <v>18</v>
      </c>
      <c r="T65" s="10">
        <f t="shared" si="7"/>
        <v>3</v>
      </c>
      <c r="V65" s="10">
        <f t="shared" si="8"/>
        <v>8073</v>
      </c>
      <c r="X65" s="10">
        <f t="shared" si="9"/>
        <v>754957205</v>
      </c>
      <c r="Z65" s="4">
        <v>38</v>
      </c>
      <c r="AA65" s="4">
        <v>63</v>
      </c>
      <c r="AB65" s="5" t="str">
        <v>Ags4PYM=</v>
      </c>
    </row>
    <row r="66" spans="1:28" x14ac:dyDescent="0.25">
      <c r="A66" s="6" t="str">
        <f t="array" ref="A66:A87">_xll.gxRandom(_schema,22)</f>
        <v>J/87vCs=</v>
      </c>
      <c r="B66" s="17">
        <v>2</v>
      </c>
      <c r="C66" s="17">
        <v>7</v>
      </c>
      <c r="D66" s="17">
        <v>0</v>
      </c>
      <c r="E66" s="17">
        <v>15</v>
      </c>
      <c r="F66" s="17">
        <v>3</v>
      </c>
      <c r="G66" s="17">
        <v>11</v>
      </c>
      <c r="H66" s="17">
        <v>23</v>
      </c>
      <c r="I66" s="17">
        <v>16</v>
      </c>
      <c r="J66" s="17">
        <v>21</v>
      </c>
      <c r="L66" s="10">
        <f t="shared" si="0"/>
        <v>9</v>
      </c>
      <c r="M66" s="10">
        <f t="shared" si="1"/>
        <v>29</v>
      </c>
      <c r="N66" s="10">
        <f t="shared" si="2"/>
        <v>60</v>
      </c>
      <c r="O66" s="10">
        <f t="shared" si="3"/>
        <v>45</v>
      </c>
      <c r="Q66" s="10">
        <f t="shared" si="4"/>
        <v>40</v>
      </c>
      <c r="R66" s="10">
        <f t="shared" si="5"/>
        <v>26</v>
      </c>
      <c r="S66" s="10">
        <f t="shared" si="6"/>
        <v>32</v>
      </c>
      <c r="T66" s="10">
        <f t="shared" si="7"/>
        <v>0</v>
      </c>
      <c r="V66" s="10">
        <f t="shared" si="8"/>
        <v>12249</v>
      </c>
      <c r="X66" s="10">
        <f t="shared" si="9"/>
        <v>427630400</v>
      </c>
    </row>
    <row r="67" spans="1:28" x14ac:dyDescent="0.25">
      <c r="A67" s="6" t="str">
        <v>FvGQTpw=</v>
      </c>
      <c r="B67" s="17">
        <v>1</v>
      </c>
      <c r="C67" s="17">
        <v>6</v>
      </c>
      <c r="D67" s="17">
        <v>0</v>
      </c>
      <c r="E67" s="17">
        <v>1</v>
      </c>
      <c r="F67" s="17">
        <v>9</v>
      </c>
      <c r="G67" s="17">
        <v>0</v>
      </c>
      <c r="H67" s="17">
        <v>9</v>
      </c>
      <c r="I67" s="17">
        <v>26</v>
      </c>
      <c r="J67" s="17">
        <v>14</v>
      </c>
      <c r="L67" s="10">
        <f t="shared" si="0"/>
        <v>7</v>
      </c>
      <c r="M67" s="10">
        <f t="shared" si="1"/>
        <v>10</v>
      </c>
      <c r="N67" s="10">
        <f t="shared" si="2"/>
        <v>49</v>
      </c>
      <c r="O67" s="10">
        <f t="shared" si="3"/>
        <v>37</v>
      </c>
      <c r="Q67" s="10">
        <f t="shared" si="4"/>
        <v>11</v>
      </c>
      <c r="R67" s="10">
        <f t="shared" si="5"/>
        <v>41</v>
      </c>
      <c r="S67" s="10">
        <f t="shared" si="6"/>
        <v>14</v>
      </c>
      <c r="T67" s="10">
        <f t="shared" si="7"/>
        <v>6</v>
      </c>
      <c r="V67" s="10">
        <f t="shared" si="8"/>
        <v>8497</v>
      </c>
      <c r="X67" s="10">
        <f t="shared" si="9"/>
        <v>482660566</v>
      </c>
    </row>
    <row r="68" spans="1:28" x14ac:dyDescent="0.25">
      <c r="A68" s="6" t="str">
        <v>0gs4PYM=</v>
      </c>
      <c r="B68" s="17">
        <v>13</v>
      </c>
      <c r="C68" s="17">
        <v>2</v>
      </c>
      <c r="D68" s="17">
        <v>0</v>
      </c>
      <c r="E68" s="17">
        <v>11</v>
      </c>
      <c r="F68" s="17">
        <v>3</v>
      </c>
      <c r="G68" s="17">
        <v>8</v>
      </c>
      <c r="H68" s="17">
        <v>7</v>
      </c>
      <c r="I68" s="17">
        <v>22</v>
      </c>
      <c r="J68" s="17">
        <v>1</v>
      </c>
      <c r="L68" s="10">
        <f t="shared" si="0"/>
        <v>15</v>
      </c>
      <c r="M68" s="10">
        <f t="shared" si="1"/>
        <v>22</v>
      </c>
      <c r="N68" s="10">
        <f t="shared" si="2"/>
        <v>30</v>
      </c>
      <c r="O68" s="10">
        <f t="shared" si="3"/>
        <v>2</v>
      </c>
      <c r="Q68" s="10">
        <f t="shared" si="4"/>
        <v>31</v>
      </c>
      <c r="R68" s="10">
        <f t="shared" si="5"/>
        <v>27</v>
      </c>
      <c r="S68" s="10">
        <f t="shared" si="6"/>
        <v>9</v>
      </c>
      <c r="T68" s="10">
        <f t="shared" si="7"/>
        <v>11</v>
      </c>
      <c r="V68" s="10">
        <f t="shared" si="8"/>
        <v>8290</v>
      </c>
      <c r="X68" s="10">
        <f t="shared" si="9"/>
        <v>712674520</v>
      </c>
    </row>
    <row r="69" spans="1:28" x14ac:dyDescent="0.25">
      <c r="A69" s="6" t="str">
        <v>xIFb7rg=</v>
      </c>
      <c r="B69" s="17">
        <v>12</v>
      </c>
      <c r="C69" s="17">
        <v>4</v>
      </c>
      <c r="D69" s="17">
        <v>8</v>
      </c>
      <c r="E69" s="17">
        <v>1</v>
      </c>
      <c r="F69" s="17">
        <v>5</v>
      </c>
      <c r="G69" s="17">
        <v>11</v>
      </c>
      <c r="H69" s="17">
        <v>29</v>
      </c>
      <c r="I69" s="17">
        <v>26</v>
      </c>
      <c r="J69" s="17">
        <v>28</v>
      </c>
      <c r="L69" s="10">
        <f t="shared" si="0"/>
        <v>24</v>
      </c>
      <c r="M69" s="10">
        <f t="shared" si="1"/>
        <v>17</v>
      </c>
      <c r="N69" s="10">
        <f t="shared" si="2"/>
        <v>83</v>
      </c>
      <c r="O69" s="10">
        <f t="shared" si="3"/>
        <v>65</v>
      </c>
      <c r="Q69" s="10">
        <f t="shared" si="4"/>
        <v>42</v>
      </c>
      <c r="R69" s="10">
        <f t="shared" si="5"/>
        <v>35</v>
      </c>
      <c r="S69" s="10">
        <f t="shared" si="6"/>
        <v>47</v>
      </c>
      <c r="T69" s="10">
        <f t="shared" si="7"/>
        <v>0</v>
      </c>
      <c r="V69" s="10">
        <f t="shared" si="8"/>
        <v>15763</v>
      </c>
      <c r="X69" s="10">
        <f t="shared" si="9"/>
        <v>259829500</v>
      </c>
    </row>
    <row r="70" spans="1:28" x14ac:dyDescent="0.25">
      <c r="A70" s="6" t="str">
        <v>jGx/VH0=</v>
      </c>
      <c r="B70" s="17">
        <v>8</v>
      </c>
      <c r="C70" s="17">
        <v>12</v>
      </c>
      <c r="D70" s="17">
        <v>6</v>
      </c>
      <c r="E70" s="17">
        <v>12</v>
      </c>
      <c r="F70" s="17">
        <v>7</v>
      </c>
      <c r="G70" s="17">
        <v>15</v>
      </c>
      <c r="H70" s="17">
        <v>10</v>
      </c>
      <c r="I70" s="17">
        <v>17</v>
      </c>
      <c r="J70" s="17">
        <v>0</v>
      </c>
      <c r="L70" s="10">
        <f t="shared" ref="L70:L87" si="10">B70+C70+D70</f>
        <v>26</v>
      </c>
      <c r="M70" s="10">
        <f t="shared" ref="M70:M87" si="11">E70+F70+G70</f>
        <v>34</v>
      </c>
      <c r="N70" s="10">
        <f t="shared" ref="N70:N87" si="12">H70+I70+J70</f>
        <v>27</v>
      </c>
      <c r="O70" s="10">
        <f t="shared" ref="O70:O87" si="13">ABS(L70-$AH$16)+ABS(M70-$AH$17)+ABS(N70-$AH$18)</f>
        <v>28</v>
      </c>
      <c r="Q70" s="10">
        <f t="shared" ref="Q70:Q87" si="14">B70+E70+H70</f>
        <v>30</v>
      </c>
      <c r="R70" s="10">
        <f t="shared" ref="R70:R87" si="15">C70+F70+I70</f>
        <v>36</v>
      </c>
      <c r="S70" s="10">
        <f t="shared" ref="S70:S87" si="16">D70+G70+J70</f>
        <v>21</v>
      </c>
      <c r="T70" s="10">
        <f t="shared" ref="T70:T87" si="17">MAX(0,$AH$21-Q70)+MAX(0,$AH$22-R70)+MAX(0,$AH$23-S70)</f>
        <v>0</v>
      </c>
      <c r="V70" s="10">
        <f t="shared" ref="V70:V87" si="18">MMULT(B70:J70,$AH$5:$AH$13)</f>
        <v>11277</v>
      </c>
      <c r="X70" s="10">
        <f t="shared" ref="X70:X87" si="19">(90000-V70)*(100-O70)*(100-T70)-100*COUNTIF(B70:J70,"=0")</f>
        <v>566805500</v>
      </c>
    </row>
    <row r="71" spans="1:28" x14ac:dyDescent="0.25">
      <c r="A71" s="6" t="str">
        <v>4apSnUI=</v>
      </c>
      <c r="B71" s="17">
        <v>14</v>
      </c>
      <c r="C71" s="17">
        <v>1</v>
      </c>
      <c r="D71" s="17">
        <v>10</v>
      </c>
      <c r="E71" s="17">
        <v>10</v>
      </c>
      <c r="F71" s="17">
        <v>5</v>
      </c>
      <c r="G71" s="17">
        <v>2</v>
      </c>
      <c r="H71" s="17">
        <v>19</v>
      </c>
      <c r="I71" s="17">
        <v>21</v>
      </c>
      <c r="J71" s="17">
        <v>1</v>
      </c>
      <c r="L71" s="10">
        <f t="shared" si="10"/>
        <v>25</v>
      </c>
      <c r="M71" s="10">
        <f t="shared" si="11"/>
        <v>17</v>
      </c>
      <c r="N71" s="10">
        <f t="shared" si="12"/>
        <v>41</v>
      </c>
      <c r="O71" s="10">
        <f t="shared" si="13"/>
        <v>24</v>
      </c>
      <c r="Q71" s="10">
        <f t="shared" si="14"/>
        <v>43</v>
      </c>
      <c r="R71" s="10">
        <f t="shared" si="15"/>
        <v>27</v>
      </c>
      <c r="S71" s="10">
        <f t="shared" si="16"/>
        <v>13</v>
      </c>
      <c r="T71" s="10">
        <f t="shared" si="17"/>
        <v>7</v>
      </c>
      <c r="V71" s="10">
        <f t="shared" si="18"/>
        <v>10566</v>
      </c>
      <c r="X71" s="10">
        <f t="shared" si="19"/>
        <v>561439512</v>
      </c>
    </row>
    <row r="72" spans="1:28" x14ac:dyDescent="0.25">
      <c r="A72" s="6" t="str">
        <v>2l+SUPM=</v>
      </c>
      <c r="B72" s="17">
        <v>13</v>
      </c>
      <c r="C72" s="17">
        <v>10</v>
      </c>
      <c r="D72" s="17">
        <v>5</v>
      </c>
      <c r="E72" s="17">
        <v>15</v>
      </c>
      <c r="F72" s="17">
        <v>9</v>
      </c>
      <c r="G72" s="17">
        <v>2</v>
      </c>
      <c r="H72" s="17">
        <v>10</v>
      </c>
      <c r="I72" s="17">
        <v>3</v>
      </c>
      <c r="J72" s="17">
        <v>25</v>
      </c>
      <c r="L72" s="10">
        <f t="shared" si="10"/>
        <v>28</v>
      </c>
      <c r="M72" s="10">
        <f t="shared" si="11"/>
        <v>26</v>
      </c>
      <c r="N72" s="10">
        <f t="shared" si="12"/>
        <v>38</v>
      </c>
      <c r="O72" s="10">
        <f t="shared" si="13"/>
        <v>27</v>
      </c>
      <c r="Q72" s="10">
        <f t="shared" si="14"/>
        <v>38</v>
      </c>
      <c r="R72" s="10">
        <f t="shared" si="15"/>
        <v>22</v>
      </c>
      <c r="S72" s="10">
        <f t="shared" si="16"/>
        <v>32</v>
      </c>
      <c r="T72" s="10">
        <f t="shared" si="17"/>
        <v>0</v>
      </c>
      <c r="V72" s="10">
        <f t="shared" si="18"/>
        <v>11235</v>
      </c>
      <c r="X72" s="10">
        <f t="shared" si="19"/>
        <v>574984500</v>
      </c>
    </row>
    <row r="73" spans="1:28" x14ac:dyDescent="0.25">
      <c r="A73" s="6" t="str">
        <v>37+Sm3A=</v>
      </c>
      <c r="B73" s="17">
        <v>13</v>
      </c>
      <c r="C73" s="17">
        <v>0</v>
      </c>
      <c r="D73" s="17">
        <v>11</v>
      </c>
      <c r="E73" s="17">
        <v>15</v>
      </c>
      <c r="F73" s="17">
        <v>9</v>
      </c>
      <c r="G73" s="17">
        <v>2</v>
      </c>
      <c r="H73" s="17">
        <v>19</v>
      </c>
      <c r="I73" s="17">
        <v>13</v>
      </c>
      <c r="J73" s="17">
        <v>24</v>
      </c>
      <c r="L73" s="10">
        <f t="shared" si="10"/>
        <v>24</v>
      </c>
      <c r="M73" s="10">
        <f t="shared" si="11"/>
        <v>26</v>
      </c>
      <c r="N73" s="10">
        <f t="shared" si="12"/>
        <v>56</v>
      </c>
      <c r="O73" s="10">
        <f t="shared" si="13"/>
        <v>41</v>
      </c>
      <c r="Q73" s="10">
        <f t="shared" si="14"/>
        <v>47</v>
      </c>
      <c r="R73" s="10">
        <f t="shared" si="15"/>
        <v>22</v>
      </c>
      <c r="S73" s="10">
        <f t="shared" si="16"/>
        <v>37</v>
      </c>
      <c r="T73" s="10">
        <f t="shared" si="17"/>
        <v>0</v>
      </c>
      <c r="V73" s="10">
        <f t="shared" si="18"/>
        <v>13178</v>
      </c>
      <c r="X73" s="10">
        <f t="shared" si="19"/>
        <v>453249700</v>
      </c>
    </row>
    <row r="74" spans="1:28" x14ac:dyDescent="0.25">
      <c r="A74" s="6" t="str">
        <v>H4Zphj0=</v>
      </c>
      <c r="B74" s="17">
        <v>1</v>
      </c>
      <c r="C74" s="17">
        <v>0</v>
      </c>
      <c r="D74" s="17">
        <v>8</v>
      </c>
      <c r="E74" s="17">
        <v>6</v>
      </c>
      <c r="F74" s="17">
        <v>6</v>
      </c>
      <c r="G74" s="17">
        <v>9</v>
      </c>
      <c r="H74" s="17">
        <v>16</v>
      </c>
      <c r="I74" s="17">
        <v>24</v>
      </c>
      <c r="J74" s="17">
        <v>0</v>
      </c>
      <c r="L74" s="10">
        <f t="shared" si="10"/>
        <v>9</v>
      </c>
      <c r="M74" s="10">
        <f t="shared" si="11"/>
        <v>21</v>
      </c>
      <c r="N74" s="10">
        <f t="shared" si="12"/>
        <v>40</v>
      </c>
      <c r="O74" s="10">
        <f t="shared" si="13"/>
        <v>17</v>
      </c>
      <c r="Q74" s="10">
        <f t="shared" si="14"/>
        <v>23</v>
      </c>
      <c r="R74" s="10">
        <f t="shared" si="15"/>
        <v>30</v>
      </c>
      <c r="S74" s="10">
        <f t="shared" si="16"/>
        <v>17</v>
      </c>
      <c r="T74" s="10">
        <f t="shared" si="17"/>
        <v>3</v>
      </c>
      <c r="V74" s="10">
        <f t="shared" si="18"/>
        <v>9310</v>
      </c>
      <c r="X74" s="10">
        <f t="shared" si="19"/>
        <v>649634990</v>
      </c>
    </row>
    <row r="75" spans="1:28" x14ac:dyDescent="0.25">
      <c r="A75" s="6" t="str">
        <v>iDx/M/o=</v>
      </c>
      <c r="B75" s="17">
        <v>8</v>
      </c>
      <c r="C75" s="17">
        <v>8</v>
      </c>
      <c r="D75" s="17">
        <v>3</v>
      </c>
      <c r="E75" s="17">
        <v>12</v>
      </c>
      <c r="F75" s="17">
        <v>7</v>
      </c>
      <c r="G75" s="17">
        <v>15</v>
      </c>
      <c r="H75" s="17">
        <v>6</v>
      </c>
      <c r="I75" s="17">
        <v>15</v>
      </c>
      <c r="J75" s="17">
        <v>29</v>
      </c>
      <c r="L75" s="10">
        <f t="shared" si="10"/>
        <v>19</v>
      </c>
      <c r="M75" s="10">
        <f t="shared" si="11"/>
        <v>34</v>
      </c>
      <c r="N75" s="10">
        <f t="shared" si="12"/>
        <v>50</v>
      </c>
      <c r="O75" s="10">
        <f t="shared" si="13"/>
        <v>38</v>
      </c>
      <c r="Q75" s="10">
        <f t="shared" si="14"/>
        <v>26</v>
      </c>
      <c r="R75" s="10">
        <f t="shared" si="15"/>
        <v>30</v>
      </c>
      <c r="S75" s="10">
        <f t="shared" si="16"/>
        <v>47</v>
      </c>
      <c r="T75" s="10">
        <f t="shared" si="17"/>
        <v>0</v>
      </c>
      <c r="V75" s="10">
        <f t="shared" si="18"/>
        <v>12829</v>
      </c>
      <c r="X75" s="10">
        <f t="shared" si="19"/>
        <v>478460200</v>
      </c>
    </row>
    <row r="76" spans="1:28" x14ac:dyDescent="0.25">
      <c r="A76" s="6" t="str">
        <v>+o7ATRE=</v>
      </c>
      <c r="B76" s="17">
        <v>0</v>
      </c>
      <c r="C76" s="17">
        <v>10</v>
      </c>
      <c r="D76" s="17">
        <v>8</v>
      </c>
      <c r="E76" s="17">
        <v>14</v>
      </c>
      <c r="F76" s="17">
        <v>12</v>
      </c>
      <c r="G76" s="17">
        <v>0</v>
      </c>
      <c r="H76" s="17">
        <v>9</v>
      </c>
      <c r="I76" s="17">
        <v>20</v>
      </c>
      <c r="J76" s="17">
        <v>8</v>
      </c>
      <c r="L76" s="10">
        <f t="shared" si="10"/>
        <v>18</v>
      </c>
      <c r="M76" s="10">
        <f t="shared" si="11"/>
        <v>26</v>
      </c>
      <c r="N76" s="10">
        <f t="shared" si="12"/>
        <v>37</v>
      </c>
      <c r="O76" s="10">
        <f t="shared" si="13"/>
        <v>16</v>
      </c>
      <c r="Q76" s="10">
        <f t="shared" si="14"/>
        <v>23</v>
      </c>
      <c r="R76" s="10">
        <f t="shared" si="15"/>
        <v>42</v>
      </c>
      <c r="S76" s="10">
        <f t="shared" si="16"/>
        <v>16</v>
      </c>
      <c r="T76" s="10">
        <f t="shared" si="17"/>
        <v>4</v>
      </c>
      <c r="V76" s="10">
        <f t="shared" si="18"/>
        <v>10524</v>
      </c>
      <c r="X76" s="10">
        <f t="shared" si="19"/>
        <v>640894264</v>
      </c>
    </row>
    <row r="77" spans="1:28" x14ac:dyDescent="0.25">
      <c r="A77" s="6" t="str">
        <v>u4DnP0k=</v>
      </c>
      <c r="B77" s="17">
        <v>11</v>
      </c>
      <c r="C77" s="17">
        <v>11</v>
      </c>
      <c r="D77" s="17">
        <v>8</v>
      </c>
      <c r="E77" s="17">
        <v>0</v>
      </c>
      <c r="F77" s="17">
        <v>14</v>
      </c>
      <c r="G77" s="17">
        <v>7</v>
      </c>
      <c r="H77" s="17">
        <v>7</v>
      </c>
      <c r="I77" s="17">
        <v>29</v>
      </c>
      <c r="J77" s="17">
        <v>4</v>
      </c>
      <c r="L77" s="10">
        <f t="shared" si="10"/>
        <v>30</v>
      </c>
      <c r="M77" s="10">
        <f t="shared" si="11"/>
        <v>21</v>
      </c>
      <c r="N77" s="10">
        <f t="shared" si="12"/>
        <v>40</v>
      </c>
      <c r="O77" s="10">
        <f t="shared" si="13"/>
        <v>26</v>
      </c>
      <c r="Q77" s="10">
        <f t="shared" si="14"/>
        <v>18</v>
      </c>
      <c r="R77" s="10">
        <f t="shared" si="15"/>
        <v>54</v>
      </c>
      <c r="S77" s="10">
        <f t="shared" si="16"/>
        <v>19</v>
      </c>
      <c r="T77" s="10">
        <f t="shared" si="17"/>
        <v>1</v>
      </c>
      <c r="V77" s="10">
        <f t="shared" si="18"/>
        <v>11981</v>
      </c>
      <c r="X77" s="10">
        <f t="shared" si="19"/>
        <v>571567094</v>
      </c>
    </row>
    <row r="78" spans="1:28" x14ac:dyDescent="0.25">
      <c r="A78" s="6" t="str">
        <v>bJ/zDME=</v>
      </c>
      <c r="B78" s="17">
        <v>6</v>
      </c>
      <c r="C78" s="17">
        <v>12</v>
      </c>
      <c r="D78" s="17">
        <v>9</v>
      </c>
      <c r="E78" s="17">
        <v>15</v>
      </c>
      <c r="F78" s="17">
        <v>15</v>
      </c>
      <c r="G78" s="17">
        <v>3</v>
      </c>
      <c r="H78" s="17">
        <v>1</v>
      </c>
      <c r="I78" s="17">
        <v>19</v>
      </c>
      <c r="J78" s="17">
        <v>0</v>
      </c>
      <c r="L78" s="10">
        <f t="shared" si="10"/>
        <v>27</v>
      </c>
      <c r="M78" s="10">
        <f t="shared" si="11"/>
        <v>33</v>
      </c>
      <c r="N78" s="10">
        <f t="shared" si="12"/>
        <v>20</v>
      </c>
      <c r="O78" s="10">
        <f t="shared" si="13"/>
        <v>35</v>
      </c>
      <c r="Q78" s="10">
        <f t="shared" si="14"/>
        <v>22</v>
      </c>
      <c r="R78" s="10">
        <f t="shared" si="15"/>
        <v>46</v>
      </c>
      <c r="S78" s="10">
        <f t="shared" si="16"/>
        <v>12</v>
      </c>
      <c r="T78" s="10">
        <f t="shared" si="17"/>
        <v>8</v>
      </c>
      <c r="V78" s="10">
        <f t="shared" si="18"/>
        <v>10426</v>
      </c>
      <c r="X78" s="10">
        <f t="shared" si="19"/>
        <v>475852420</v>
      </c>
    </row>
    <row r="79" spans="1:28" x14ac:dyDescent="0.25">
      <c r="A79" s="6" t="str">
        <v>c3noSqM=</v>
      </c>
      <c r="B79" s="17">
        <v>7</v>
      </c>
      <c r="C79" s="17">
        <v>3</v>
      </c>
      <c r="D79" s="17">
        <v>7</v>
      </c>
      <c r="E79" s="17">
        <v>9</v>
      </c>
      <c r="F79" s="17">
        <v>14</v>
      </c>
      <c r="G79" s="17">
        <v>8</v>
      </c>
      <c r="H79" s="17">
        <v>9</v>
      </c>
      <c r="I79" s="17">
        <v>10</v>
      </c>
      <c r="J79" s="17">
        <v>17</v>
      </c>
      <c r="L79" s="10">
        <f t="shared" si="10"/>
        <v>17</v>
      </c>
      <c r="M79" s="10">
        <f t="shared" si="11"/>
        <v>31</v>
      </c>
      <c r="N79" s="10">
        <f t="shared" si="12"/>
        <v>36</v>
      </c>
      <c r="O79" s="10">
        <f t="shared" si="13"/>
        <v>19</v>
      </c>
      <c r="Q79" s="10">
        <f t="shared" si="14"/>
        <v>25</v>
      </c>
      <c r="R79" s="10">
        <f t="shared" si="15"/>
        <v>27</v>
      </c>
      <c r="S79" s="10">
        <f t="shared" si="16"/>
        <v>32</v>
      </c>
      <c r="T79" s="10">
        <f t="shared" si="17"/>
        <v>0</v>
      </c>
      <c r="V79" s="10">
        <f t="shared" si="18"/>
        <v>10702</v>
      </c>
      <c r="X79" s="10">
        <f t="shared" si="19"/>
        <v>642313800</v>
      </c>
    </row>
    <row r="80" spans="1:28" x14ac:dyDescent="0.25">
      <c r="A80" s="6" t="str">
        <v>Be+/fpg=</v>
      </c>
      <c r="B80" s="17">
        <v>0</v>
      </c>
      <c r="C80" s="17">
        <v>5</v>
      </c>
      <c r="D80" s="17">
        <v>14</v>
      </c>
      <c r="E80" s="17">
        <v>15</v>
      </c>
      <c r="F80" s="17">
        <v>11</v>
      </c>
      <c r="G80" s="17">
        <v>15</v>
      </c>
      <c r="H80" s="17">
        <v>15</v>
      </c>
      <c r="I80" s="17">
        <v>26</v>
      </c>
      <c r="J80" s="17">
        <v>12</v>
      </c>
      <c r="L80" s="10">
        <f t="shared" si="10"/>
        <v>19</v>
      </c>
      <c r="M80" s="10">
        <f t="shared" si="11"/>
        <v>41</v>
      </c>
      <c r="N80" s="10">
        <f t="shared" si="12"/>
        <v>53</v>
      </c>
      <c r="O80" s="10">
        <f t="shared" si="13"/>
        <v>48</v>
      </c>
      <c r="Q80" s="10">
        <f t="shared" si="14"/>
        <v>30</v>
      </c>
      <c r="R80" s="10">
        <f t="shared" si="15"/>
        <v>42</v>
      </c>
      <c r="S80" s="10">
        <f t="shared" si="16"/>
        <v>41</v>
      </c>
      <c r="T80" s="10">
        <f t="shared" si="17"/>
        <v>0</v>
      </c>
      <c r="V80" s="10">
        <f t="shared" si="18"/>
        <v>14824</v>
      </c>
      <c r="X80" s="10">
        <f t="shared" si="19"/>
        <v>390915100</v>
      </c>
    </row>
    <row r="81" spans="1:24" x14ac:dyDescent="0.25">
      <c r="A81" s="6" t="str">
        <v>BgP4FvQ=</v>
      </c>
      <c r="B81" s="17">
        <v>0</v>
      </c>
      <c r="C81" s="17">
        <v>6</v>
      </c>
      <c r="D81" s="17">
        <v>0</v>
      </c>
      <c r="E81" s="17">
        <v>3</v>
      </c>
      <c r="F81" s="17">
        <v>15</v>
      </c>
      <c r="G81" s="17">
        <v>8</v>
      </c>
      <c r="H81" s="17">
        <v>2</v>
      </c>
      <c r="I81" s="17">
        <v>27</v>
      </c>
      <c r="J81" s="17">
        <v>26</v>
      </c>
      <c r="L81" s="10">
        <f t="shared" si="10"/>
        <v>6</v>
      </c>
      <c r="M81" s="10">
        <f t="shared" si="11"/>
        <v>26</v>
      </c>
      <c r="N81" s="10">
        <f t="shared" si="12"/>
        <v>55</v>
      </c>
      <c r="O81" s="10">
        <f t="shared" si="13"/>
        <v>40</v>
      </c>
      <c r="Q81" s="10">
        <f t="shared" si="14"/>
        <v>5</v>
      </c>
      <c r="R81" s="10">
        <f t="shared" si="15"/>
        <v>48</v>
      </c>
      <c r="S81" s="10">
        <f t="shared" si="16"/>
        <v>34</v>
      </c>
      <c r="T81" s="10">
        <f t="shared" si="17"/>
        <v>5</v>
      </c>
      <c r="V81" s="10">
        <f t="shared" si="18"/>
        <v>11150</v>
      </c>
      <c r="X81" s="10">
        <f t="shared" si="19"/>
        <v>449444800</v>
      </c>
    </row>
    <row r="82" spans="1:24" x14ac:dyDescent="0.25">
      <c r="A82" s="6" t="str">
        <v>pSsfokc=</v>
      </c>
      <c r="B82" s="17">
        <v>10</v>
      </c>
      <c r="C82" s="17">
        <v>5</v>
      </c>
      <c r="D82" s="17">
        <v>2</v>
      </c>
      <c r="E82" s="17">
        <v>11</v>
      </c>
      <c r="F82" s="17">
        <v>1</v>
      </c>
      <c r="G82" s="17">
        <v>15</v>
      </c>
      <c r="H82" s="17">
        <v>20</v>
      </c>
      <c r="I82" s="17">
        <v>9</v>
      </c>
      <c r="J82" s="17">
        <v>3</v>
      </c>
      <c r="L82" s="10">
        <f t="shared" si="10"/>
        <v>17</v>
      </c>
      <c r="M82" s="10">
        <f t="shared" si="11"/>
        <v>27</v>
      </c>
      <c r="N82" s="10">
        <f t="shared" si="12"/>
        <v>32</v>
      </c>
      <c r="O82" s="10">
        <f t="shared" si="13"/>
        <v>11</v>
      </c>
      <c r="Q82" s="10">
        <f t="shared" si="14"/>
        <v>41</v>
      </c>
      <c r="R82" s="10">
        <f t="shared" si="15"/>
        <v>15</v>
      </c>
      <c r="S82" s="10">
        <f t="shared" si="16"/>
        <v>20</v>
      </c>
      <c r="T82" s="10">
        <f t="shared" si="17"/>
        <v>0</v>
      </c>
      <c r="V82" s="10">
        <f t="shared" si="18"/>
        <v>9569</v>
      </c>
      <c r="X82" s="10">
        <f t="shared" si="19"/>
        <v>715835900</v>
      </c>
    </row>
    <row r="83" spans="1:24" x14ac:dyDescent="0.25">
      <c r="A83" s="6" t="str">
        <v>TJ5FPjg=</v>
      </c>
      <c r="B83" s="17">
        <v>4</v>
      </c>
      <c r="C83" s="17">
        <v>12</v>
      </c>
      <c r="D83" s="17">
        <v>9</v>
      </c>
      <c r="E83" s="17">
        <v>14</v>
      </c>
      <c r="F83" s="17">
        <v>4</v>
      </c>
      <c r="G83" s="17">
        <v>5</v>
      </c>
      <c r="H83" s="17">
        <v>7</v>
      </c>
      <c r="I83" s="17">
        <v>24</v>
      </c>
      <c r="J83" s="17">
        <v>28</v>
      </c>
      <c r="L83" s="10">
        <f t="shared" si="10"/>
        <v>25</v>
      </c>
      <c r="M83" s="10">
        <f t="shared" si="11"/>
        <v>23</v>
      </c>
      <c r="N83" s="10">
        <f t="shared" si="12"/>
        <v>59</v>
      </c>
      <c r="O83" s="10">
        <f t="shared" si="13"/>
        <v>42</v>
      </c>
      <c r="Q83" s="10">
        <f t="shared" si="14"/>
        <v>25</v>
      </c>
      <c r="R83" s="10">
        <f t="shared" si="15"/>
        <v>40</v>
      </c>
      <c r="S83" s="10">
        <f t="shared" si="16"/>
        <v>42</v>
      </c>
      <c r="T83" s="10">
        <f t="shared" si="17"/>
        <v>0</v>
      </c>
      <c r="V83" s="10">
        <f t="shared" si="18"/>
        <v>13500</v>
      </c>
      <c r="X83" s="10">
        <f t="shared" si="19"/>
        <v>443700000</v>
      </c>
    </row>
    <row r="84" spans="1:24" x14ac:dyDescent="0.25">
      <c r="A84" s="6" t="str">
        <v>XtdSUQM=</v>
      </c>
      <c r="B84" s="17">
        <v>5</v>
      </c>
      <c r="C84" s="17">
        <v>14</v>
      </c>
      <c r="D84" s="17">
        <v>13</v>
      </c>
      <c r="E84" s="17">
        <v>7</v>
      </c>
      <c r="F84" s="17">
        <v>5</v>
      </c>
      <c r="G84" s="17">
        <v>2</v>
      </c>
      <c r="H84" s="17">
        <v>10</v>
      </c>
      <c r="I84" s="17">
        <v>4</v>
      </c>
      <c r="J84" s="17">
        <v>1</v>
      </c>
      <c r="L84" s="10">
        <f t="shared" si="10"/>
        <v>32</v>
      </c>
      <c r="M84" s="10">
        <f t="shared" si="11"/>
        <v>14</v>
      </c>
      <c r="N84" s="10">
        <f t="shared" si="12"/>
        <v>15</v>
      </c>
      <c r="O84" s="10">
        <f t="shared" si="13"/>
        <v>38</v>
      </c>
      <c r="Q84" s="10">
        <f t="shared" si="14"/>
        <v>22</v>
      </c>
      <c r="R84" s="10">
        <f t="shared" si="15"/>
        <v>23</v>
      </c>
      <c r="S84" s="10">
        <f t="shared" si="16"/>
        <v>16</v>
      </c>
      <c r="T84" s="10">
        <f t="shared" si="17"/>
        <v>4</v>
      </c>
      <c r="V84" s="10">
        <f t="shared" si="18"/>
        <v>8091</v>
      </c>
      <c r="X84" s="10">
        <f t="shared" si="19"/>
        <v>487522368</v>
      </c>
    </row>
    <row r="85" spans="1:24" x14ac:dyDescent="0.25">
      <c r="A85" s="6" t="str">
        <v>gJJdxck=</v>
      </c>
      <c r="B85" s="17">
        <v>8</v>
      </c>
      <c r="C85" s="17">
        <v>0</v>
      </c>
      <c r="D85" s="17">
        <v>9</v>
      </c>
      <c r="E85" s="17">
        <v>2</v>
      </c>
      <c r="F85" s="17">
        <v>5</v>
      </c>
      <c r="G85" s="17">
        <v>13</v>
      </c>
      <c r="H85" s="17">
        <v>24</v>
      </c>
      <c r="I85" s="17">
        <v>23</v>
      </c>
      <c r="J85" s="17">
        <v>4</v>
      </c>
      <c r="L85" s="10">
        <f t="shared" si="10"/>
        <v>17</v>
      </c>
      <c r="M85" s="10">
        <f t="shared" si="11"/>
        <v>20</v>
      </c>
      <c r="N85" s="10">
        <f t="shared" si="12"/>
        <v>51</v>
      </c>
      <c r="O85" s="10">
        <f t="shared" si="13"/>
        <v>23</v>
      </c>
      <c r="Q85" s="10">
        <f t="shared" si="14"/>
        <v>34</v>
      </c>
      <c r="R85" s="10">
        <f t="shared" si="15"/>
        <v>28</v>
      </c>
      <c r="S85" s="10">
        <f t="shared" si="16"/>
        <v>26</v>
      </c>
      <c r="T85" s="10">
        <f t="shared" si="17"/>
        <v>0</v>
      </c>
      <c r="V85" s="10">
        <f t="shared" si="18"/>
        <v>11534</v>
      </c>
      <c r="X85" s="10">
        <f t="shared" si="19"/>
        <v>604188100</v>
      </c>
    </row>
    <row r="86" spans="1:24" x14ac:dyDescent="0.25">
      <c r="A86" s="6" t="str">
        <v>D1M1j/U=</v>
      </c>
      <c r="B86" s="17">
        <v>0</v>
      </c>
      <c r="C86" s="17">
        <v>0</v>
      </c>
      <c r="D86" s="17">
        <v>5</v>
      </c>
      <c r="E86" s="17">
        <v>3</v>
      </c>
      <c r="F86" s="17">
        <v>3</v>
      </c>
      <c r="G86" s="17">
        <v>5</v>
      </c>
      <c r="H86" s="17">
        <v>17</v>
      </c>
      <c r="I86" s="17">
        <v>1</v>
      </c>
      <c r="J86" s="17">
        <v>26</v>
      </c>
      <c r="L86" s="10">
        <f t="shared" si="10"/>
        <v>5</v>
      </c>
      <c r="M86" s="10">
        <f t="shared" si="11"/>
        <v>11</v>
      </c>
      <c r="N86" s="10">
        <f t="shared" si="12"/>
        <v>44</v>
      </c>
      <c r="O86" s="10">
        <f t="shared" si="13"/>
        <v>33</v>
      </c>
      <c r="Q86" s="10">
        <f t="shared" si="14"/>
        <v>20</v>
      </c>
      <c r="R86" s="10">
        <f t="shared" si="15"/>
        <v>4</v>
      </c>
      <c r="S86" s="10">
        <f t="shared" si="16"/>
        <v>36</v>
      </c>
      <c r="T86" s="10">
        <f t="shared" si="17"/>
        <v>9</v>
      </c>
      <c r="V86" s="10">
        <f t="shared" si="18"/>
        <v>7532</v>
      </c>
      <c r="X86" s="10">
        <f t="shared" si="19"/>
        <v>502807196</v>
      </c>
    </row>
    <row r="87" spans="1:24" x14ac:dyDescent="0.25">
      <c r="A87" s="6" t="str">
        <v>C85CtAs=</v>
      </c>
      <c r="B87" s="17">
        <v>0</v>
      </c>
      <c r="C87" s="17">
        <v>11</v>
      </c>
      <c r="D87" s="17">
        <v>12</v>
      </c>
      <c r="E87" s="17">
        <v>14</v>
      </c>
      <c r="F87" s="17">
        <v>4</v>
      </c>
      <c r="G87" s="17">
        <v>2</v>
      </c>
      <c r="H87" s="17">
        <v>22</v>
      </c>
      <c r="I87" s="17">
        <v>16</v>
      </c>
      <c r="J87" s="17">
        <v>5</v>
      </c>
      <c r="L87" s="10">
        <f t="shared" si="10"/>
        <v>23</v>
      </c>
      <c r="M87" s="10">
        <f t="shared" si="11"/>
        <v>20</v>
      </c>
      <c r="N87" s="10">
        <f t="shared" si="12"/>
        <v>43</v>
      </c>
      <c r="O87" s="10">
        <f t="shared" si="13"/>
        <v>21</v>
      </c>
      <c r="Q87" s="10">
        <f t="shared" si="14"/>
        <v>36</v>
      </c>
      <c r="R87" s="10">
        <f t="shared" si="15"/>
        <v>31</v>
      </c>
      <c r="S87" s="10">
        <f t="shared" si="16"/>
        <v>19</v>
      </c>
      <c r="T87" s="10">
        <f t="shared" si="17"/>
        <v>1</v>
      </c>
      <c r="V87" s="10">
        <f t="shared" si="18"/>
        <v>11242</v>
      </c>
      <c r="X87" s="10">
        <f t="shared" si="19"/>
        <v>615966218</v>
      </c>
    </row>
  </sheetData>
  <mergeCells count="6">
    <mergeCell ref="Z4:AA4"/>
    <mergeCell ref="AH4:AI4"/>
    <mergeCell ref="AH20:AI20"/>
    <mergeCell ref="AH15:AI15"/>
    <mergeCell ref="Q3:T3"/>
    <mergeCell ref="L3:O3"/>
  </mergeCells>
  <conditionalFormatting sqref="X5:X87">
    <cfRule type="top10" dxfId="0" priority="1" rank="10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29</xdr:col>
                    <xdr:colOff>95250</xdr:colOff>
                    <xdr:row>3</xdr:row>
                    <xdr:rowOff>257175</xdr:rowOff>
                  </from>
                  <to>
                    <xdr:col>29</xdr:col>
                    <xdr:colOff>1095375</xdr:colOff>
                    <xdr:row>3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ntinue">
                <anchor moveWithCells="1" sizeWithCells="1">
                  <from>
                    <xdr:col>29</xdr:col>
                    <xdr:colOff>1323975</xdr:colOff>
                    <xdr:row>3</xdr:row>
                    <xdr:rowOff>228600</xdr:rowOff>
                  </from>
                  <to>
                    <xdr:col>31</xdr:col>
                    <xdr:colOff>28575</xdr:colOff>
                    <xdr:row>3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problem</vt:lpstr>
      <vt:lpstr>_cur</vt:lpstr>
      <vt:lpstr>_ipc</vt:lpstr>
      <vt:lpstr>_new</vt:lpstr>
      <vt:lpstr>_obj</vt:lpstr>
      <vt:lpstr>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user42</dc:creator>
  <cp:lastModifiedBy>user42</cp:lastModifiedBy>
  <dcterms:created xsi:type="dcterms:W3CDTF">2019-07-02T03:47:20Z</dcterms:created>
  <dcterms:modified xsi:type="dcterms:W3CDTF">2019-10-30T00:25:17Z</dcterms:modified>
</cp:coreProperties>
</file>