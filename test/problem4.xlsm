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42\ProjectsVS\GaneshaXL\problems\"/>
    </mc:Choice>
  </mc:AlternateContent>
  <xr:revisionPtr revIDLastSave="0" documentId="13_ncr:1_{B638B15C-9C8B-49C8-BE4D-8EBBA0EDCC8E}" xr6:coauthVersionLast="45" xr6:coauthVersionMax="45" xr10:uidLastSave="{00000000-0000-0000-0000-000000000000}"/>
  <bookViews>
    <workbookView xWindow="-120" yWindow="-120" windowWidth="29040" windowHeight="15840" tabRatio="251" xr2:uid="{1B9448F9-050D-4D71-8B85-D88036EF3C89}"/>
  </bookViews>
  <sheets>
    <sheet name="problem" sheetId="2" r:id="rId1"/>
  </sheets>
  <definedNames>
    <definedName name="_cur">problem!$A$5:$A$65</definedName>
    <definedName name="_ideali">problem!#REF!</definedName>
    <definedName name="_idealj">problem!#REF!</definedName>
    <definedName name="_ipc">problem!$R$5</definedName>
    <definedName name="_new">problem!$O$5:$O$65</definedName>
    <definedName name="_obj">problem!$K$5</definedName>
    <definedName name="_out">#REF!</definedName>
    <definedName name="_schema">problem!$B$4:$G$4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6" i="2" l="1" a="1"/>
  <c r="A66" i="2" s="1"/>
  <c r="A68" i="2" l="1"/>
  <c r="A81" i="2"/>
  <c r="A73" i="2"/>
  <c r="A80" i="2"/>
  <c r="A72" i="2"/>
  <c r="A87" i="2"/>
  <c r="A79" i="2"/>
  <c r="A71" i="2"/>
  <c r="A86" i="2"/>
  <c r="A78" i="2"/>
  <c r="A70" i="2"/>
  <c r="A85" i="2"/>
  <c r="A77" i="2"/>
  <c r="A69" i="2"/>
  <c r="A84" i="2"/>
  <c r="A76" i="2"/>
  <c r="A83" i="2"/>
  <c r="A75" i="2"/>
  <c r="A67" i="2"/>
  <c r="A82" i="2"/>
  <c r="A74" i="2"/>
  <c r="B5" i="2" a="1"/>
  <c r="B5" i="2" l="1"/>
  <c r="E80" i="2"/>
  <c r="E50" i="2"/>
  <c r="G64" i="2"/>
  <c r="C83" i="2"/>
  <c r="E87" i="2"/>
  <c r="D64" i="2"/>
  <c r="C87" i="2"/>
  <c r="G63" i="2"/>
  <c r="B87" i="2"/>
  <c r="E63" i="2"/>
  <c r="G83" i="2"/>
  <c r="E58" i="2"/>
  <c r="E83" i="2"/>
  <c r="C58" i="2"/>
  <c r="B83" i="2"/>
  <c r="G56" i="2"/>
  <c r="F84" i="2"/>
  <c r="B74" i="2"/>
  <c r="D63" i="2"/>
  <c r="F52" i="2"/>
  <c r="B42" i="2"/>
  <c r="D31" i="2"/>
  <c r="F20" i="2"/>
  <c r="B10" i="2"/>
  <c r="G65" i="2"/>
  <c r="C55" i="2"/>
  <c r="E44" i="2"/>
  <c r="G33" i="2"/>
  <c r="C23" i="2"/>
  <c r="E12" i="2"/>
  <c r="B27" i="2"/>
  <c r="B55" i="2"/>
  <c r="B35" i="2"/>
  <c r="D8" i="2"/>
  <c r="G70" i="2"/>
  <c r="C60" i="2"/>
  <c r="E49" i="2"/>
  <c r="G38" i="2"/>
  <c r="C28" i="2"/>
  <c r="E17" i="2"/>
  <c r="G6" i="2"/>
  <c r="F37" i="2"/>
  <c r="B7" i="2"/>
  <c r="B84" i="2"/>
  <c r="D73" i="2"/>
  <c r="F62" i="2"/>
  <c r="B52" i="2"/>
  <c r="D41" i="2"/>
  <c r="F30" i="2"/>
  <c r="B20" i="2"/>
  <c r="D9" i="2"/>
  <c r="E22" i="2"/>
  <c r="G39" i="2"/>
  <c r="C25" i="2"/>
  <c r="E10" i="2"/>
  <c r="B81" i="2"/>
  <c r="D70" i="2"/>
  <c r="F59" i="2"/>
  <c r="B49" i="2"/>
  <c r="D38" i="2"/>
  <c r="F27" i="2"/>
  <c r="B17" i="2"/>
  <c r="D6" i="2"/>
  <c r="E57" i="2"/>
  <c r="D60" i="2"/>
  <c r="D81" i="2"/>
  <c r="B60" i="2"/>
  <c r="F6" i="2"/>
  <c r="C21" i="2"/>
  <c r="F67" i="2"/>
  <c r="B57" i="2"/>
  <c r="F35" i="2"/>
  <c r="D14" i="2"/>
  <c r="F87" i="2"/>
  <c r="B45" i="2"/>
  <c r="F23" i="2"/>
  <c r="G67" i="2"/>
  <c r="E56" i="2"/>
  <c r="D16" i="2"/>
  <c r="C8" i="2"/>
  <c r="B64" i="2"/>
  <c r="D21" i="2"/>
  <c r="G51" i="2"/>
  <c r="G12" i="2"/>
  <c r="G44" i="2"/>
  <c r="E72" i="2"/>
  <c r="G84" i="2"/>
  <c r="G60" i="2"/>
  <c r="E84" i="2"/>
  <c r="G59" i="2"/>
  <c r="D84" i="2"/>
  <c r="E59" i="2"/>
  <c r="C81" i="2"/>
  <c r="C53" i="2"/>
  <c r="G80" i="2"/>
  <c r="G52" i="2"/>
  <c r="D80" i="2"/>
  <c r="E51" i="2"/>
  <c r="D83" i="2"/>
  <c r="F72" i="2"/>
  <c r="B62" i="2"/>
  <c r="D51" i="2"/>
  <c r="F40" i="2"/>
  <c r="B30" i="2"/>
  <c r="D19" i="2"/>
  <c r="F8" i="2"/>
  <c r="E64" i="2"/>
  <c r="G53" i="2"/>
  <c r="C43" i="2"/>
  <c r="E32" i="2"/>
  <c r="G21" i="2"/>
  <c r="C11" i="2"/>
  <c r="F17" i="2"/>
  <c r="D52" i="2"/>
  <c r="D32" i="2"/>
  <c r="G86" i="2"/>
  <c r="E69" i="2"/>
  <c r="G58" i="2"/>
  <c r="C48" i="2"/>
  <c r="E37" i="2"/>
  <c r="G26" i="2"/>
  <c r="C16" i="2"/>
  <c r="E5" i="2"/>
  <c r="F33" i="2"/>
  <c r="E85" i="2"/>
  <c r="F82" i="2"/>
  <c r="B72" i="2"/>
  <c r="D61" i="2"/>
  <c r="F50" i="2"/>
  <c r="B40" i="2"/>
  <c r="D29" i="2"/>
  <c r="F18" i="2"/>
  <c r="B8" i="2"/>
  <c r="G19" i="2"/>
  <c r="C37" i="2"/>
  <c r="G23" i="2"/>
  <c r="C9" i="2"/>
  <c r="F79" i="2"/>
  <c r="B69" i="2"/>
  <c r="D58" i="2"/>
  <c r="F47" i="2"/>
  <c r="B37" i="2"/>
  <c r="D26" i="2"/>
  <c r="F15" i="2"/>
  <c r="G46" i="2"/>
  <c r="G14" i="2"/>
  <c r="C84" i="2"/>
  <c r="F70" i="2"/>
  <c r="D49" i="2"/>
  <c r="B28" i="2"/>
  <c r="D17" i="2"/>
  <c r="G15" i="2"/>
  <c r="G35" i="2"/>
  <c r="D78" i="2"/>
  <c r="D46" i="2"/>
  <c r="B25" i="2"/>
  <c r="E34" i="2"/>
  <c r="B77" i="2"/>
  <c r="F55" i="2"/>
  <c r="D34" i="2"/>
  <c r="E23" i="2"/>
  <c r="F32" i="2"/>
  <c r="B39" i="2"/>
  <c r="C40" i="2"/>
  <c r="F74" i="2"/>
  <c r="B32" i="2"/>
  <c r="E15" i="2"/>
  <c r="G87" i="2"/>
  <c r="G85" i="2"/>
  <c r="C57" i="2"/>
  <c r="C82" i="2"/>
  <c r="E55" i="2"/>
  <c r="G81" i="2"/>
  <c r="E54" i="2"/>
  <c r="F81" i="2"/>
  <c r="C54" i="2"/>
  <c r="E78" i="2"/>
  <c r="G47" i="2"/>
  <c r="C78" i="2"/>
  <c r="E47" i="2"/>
  <c r="F77" i="2"/>
  <c r="C46" i="2"/>
  <c r="B82" i="2"/>
  <c r="D71" i="2"/>
  <c r="F60" i="2"/>
  <c r="B50" i="2"/>
  <c r="D39" i="2"/>
  <c r="F28" i="2"/>
  <c r="B18" i="2"/>
  <c r="D7" i="2"/>
  <c r="C63" i="2"/>
  <c r="E52" i="2"/>
  <c r="G41" i="2"/>
  <c r="C31" i="2"/>
  <c r="E20" i="2"/>
  <c r="G9" i="2"/>
  <c r="F13" i="2"/>
  <c r="F49" i="2"/>
  <c r="F29" i="2"/>
  <c r="G82" i="2"/>
  <c r="C68" i="2"/>
  <c r="C36" i="2"/>
  <c r="E25" i="2"/>
  <c r="B31" i="2"/>
  <c r="F38" i="2"/>
  <c r="E6" i="2"/>
  <c r="C10" i="2"/>
  <c r="C75" i="2"/>
  <c r="G77" i="2"/>
  <c r="C62" i="2"/>
  <c r="C26" i="2"/>
  <c r="E79" i="2"/>
  <c r="C50" i="2"/>
  <c r="C79" i="2"/>
  <c r="C49" i="2"/>
  <c r="B79" i="2"/>
  <c r="G48" i="2"/>
  <c r="G75" i="2"/>
  <c r="E39" i="2"/>
  <c r="E75" i="2"/>
  <c r="C38" i="2"/>
  <c r="B75" i="2"/>
  <c r="E35" i="2"/>
  <c r="F80" i="2"/>
  <c r="B70" i="2"/>
  <c r="D59" i="2"/>
  <c r="F48" i="2"/>
  <c r="B38" i="2"/>
  <c r="D27" i="2"/>
  <c r="F16" i="2"/>
  <c r="B6" i="2"/>
  <c r="G61" i="2"/>
  <c r="C51" i="2"/>
  <c r="E40" i="2"/>
  <c r="G29" i="2"/>
  <c r="C19" i="2"/>
  <c r="E8" i="2"/>
  <c r="B11" i="2"/>
  <c r="B47" i="2"/>
  <c r="F25" i="2"/>
  <c r="G78" i="2"/>
  <c r="G66" i="2"/>
  <c r="C56" i="2"/>
  <c r="E45" i="2"/>
  <c r="G34" i="2"/>
  <c r="C24" i="2"/>
  <c r="E13" i="2"/>
  <c r="D56" i="2"/>
  <c r="D28" i="2"/>
  <c r="E81" i="2"/>
  <c r="B80" i="2"/>
  <c r="D69" i="2"/>
  <c r="F58" i="2"/>
  <c r="B48" i="2"/>
  <c r="D37" i="2"/>
  <c r="F26" i="2"/>
  <c r="B16" i="2"/>
  <c r="D5" i="2"/>
  <c r="G7" i="2"/>
  <c r="E18" i="2"/>
  <c r="D66" i="2"/>
  <c r="B13" i="2"/>
  <c r="E67" i="2"/>
  <c r="E24" i="2"/>
  <c r="D12" i="2"/>
  <c r="G36" i="2"/>
  <c r="F65" i="2"/>
  <c r="C85" i="2"/>
  <c r="E82" i="2"/>
  <c r="G76" i="2"/>
  <c r="E43" i="2"/>
  <c r="E76" i="2"/>
  <c r="C42" i="2"/>
  <c r="D76" i="2"/>
  <c r="G40" i="2"/>
  <c r="C73" i="2"/>
  <c r="G28" i="2"/>
  <c r="G72" i="2"/>
  <c r="E27" i="2"/>
  <c r="D72" i="2"/>
  <c r="G24" i="2"/>
  <c r="D79" i="2"/>
  <c r="F68" i="2"/>
  <c r="B58" i="2"/>
  <c r="D47" i="2"/>
  <c r="F36" i="2"/>
  <c r="B26" i="2"/>
  <c r="D15" i="2"/>
  <c r="C71" i="2"/>
  <c r="E60" i="2"/>
  <c r="G49" i="2"/>
  <c r="C39" i="2"/>
  <c r="E28" i="2"/>
  <c r="G17" i="2"/>
  <c r="C7" i="2"/>
  <c r="F9" i="2"/>
  <c r="F45" i="2"/>
  <c r="D24" i="2"/>
  <c r="C76" i="2"/>
  <c r="E65" i="2"/>
  <c r="G54" i="2"/>
  <c r="C44" i="2"/>
  <c r="E33" i="2"/>
  <c r="G22" i="2"/>
  <c r="C12" i="2"/>
  <c r="F53" i="2"/>
  <c r="B23" i="2"/>
  <c r="C80" i="2"/>
  <c r="F78" i="2"/>
  <c r="B68" i="2"/>
  <c r="D57" i="2"/>
  <c r="F46" i="2"/>
  <c r="B36" i="2"/>
  <c r="D25" i="2"/>
  <c r="F14" i="2"/>
  <c r="E42" i="2"/>
  <c r="C5" i="2"/>
  <c r="G31" i="2"/>
  <c r="C17" i="2"/>
  <c r="D86" i="2"/>
  <c r="F75" i="2"/>
  <c r="B65" i="2"/>
  <c r="D54" i="2"/>
  <c r="F43" i="2"/>
  <c r="B33" i="2"/>
  <c r="D22" i="2"/>
  <c r="F11" i="2"/>
  <c r="B85" i="2"/>
  <c r="D74" i="2"/>
  <c r="B53" i="2"/>
  <c r="D42" i="2"/>
  <c r="B21" i="2"/>
  <c r="B12" i="2"/>
  <c r="C13" i="2"/>
  <c r="B73" i="2"/>
  <c r="B41" i="2"/>
  <c r="D30" i="2"/>
  <c r="B9" i="2"/>
  <c r="D68" i="2"/>
  <c r="E11" i="2"/>
  <c r="G8" i="2"/>
  <c r="C86" i="2"/>
  <c r="F61" i="2"/>
  <c r="F64" i="2"/>
  <c r="B22" i="2"/>
  <c r="C35" i="2"/>
  <c r="D36" i="2"/>
  <c r="G50" i="2"/>
  <c r="F41" i="2"/>
  <c r="D53" i="2"/>
  <c r="C69" i="2"/>
  <c r="E46" i="2"/>
  <c r="E74" i="2"/>
  <c r="G71" i="2"/>
  <c r="C74" i="2"/>
  <c r="G32" i="2"/>
  <c r="G73" i="2"/>
  <c r="E31" i="2"/>
  <c r="F73" i="2"/>
  <c r="C30" i="2"/>
  <c r="C70" i="2"/>
  <c r="C18" i="2"/>
  <c r="F69" i="2"/>
  <c r="G16" i="2"/>
  <c r="G68" i="2"/>
  <c r="C14" i="2"/>
  <c r="B78" i="2"/>
  <c r="D67" i="2"/>
  <c r="F56" i="2"/>
  <c r="B46" i="2"/>
  <c r="D35" i="2"/>
  <c r="F24" i="2"/>
  <c r="B14" i="2"/>
  <c r="G69" i="2"/>
  <c r="C59" i="2"/>
  <c r="E48" i="2"/>
  <c r="G37" i="2"/>
  <c r="C27" i="2"/>
  <c r="E16" i="2"/>
  <c r="G5" i="2"/>
  <c r="F5" i="2"/>
  <c r="B43" i="2"/>
  <c r="F21" i="2"/>
  <c r="G74" i="2"/>
  <c r="C64" i="2"/>
  <c r="E53" i="2"/>
  <c r="G42" i="2"/>
  <c r="C32" i="2"/>
  <c r="E21" i="2"/>
  <c r="G10" i="2"/>
  <c r="D48" i="2"/>
  <c r="B19" i="2"/>
  <c r="E77" i="2"/>
  <c r="D77" i="2"/>
  <c r="F66" i="2"/>
  <c r="B56" i="2"/>
  <c r="D45" i="2"/>
  <c r="F34" i="2"/>
  <c r="B24" i="2"/>
  <c r="D13" i="2"/>
  <c r="E38" i="2"/>
  <c r="C45" i="2"/>
  <c r="E30" i="2"/>
  <c r="E14" i="2"/>
  <c r="F63" i="2"/>
  <c r="F31" i="2"/>
  <c r="D10" i="2"/>
  <c r="C33" i="2"/>
  <c r="F83" i="2"/>
  <c r="F51" i="2"/>
  <c r="F19" i="2"/>
  <c r="C77" i="2"/>
  <c r="B67" i="2"/>
  <c r="E62" i="2"/>
  <c r="B86" i="2"/>
  <c r="B54" i="2"/>
  <c r="D11" i="2"/>
  <c r="G45" i="2"/>
  <c r="F57" i="2"/>
  <c r="E61" i="2"/>
  <c r="D85" i="2"/>
  <c r="F10" i="2"/>
  <c r="G79" i="2"/>
  <c r="E86" i="2"/>
  <c r="C61" i="2"/>
  <c r="G55" i="2"/>
  <c r="E71" i="2"/>
  <c r="C22" i="2"/>
  <c r="B71" i="2"/>
  <c r="G20" i="2"/>
  <c r="E70" i="2"/>
  <c r="E19" i="2"/>
  <c r="E66" i="2"/>
  <c r="E7" i="2"/>
  <c r="C66" i="2"/>
  <c r="C6" i="2"/>
  <c r="C65" i="2"/>
  <c r="D87" i="2"/>
  <c r="F76" i="2"/>
  <c r="B66" i="2"/>
  <c r="D55" i="2"/>
  <c r="F44" i="2"/>
  <c r="B34" i="2"/>
  <c r="D23" i="2"/>
  <c r="F12" i="2"/>
  <c r="E68" i="2"/>
  <c r="G57" i="2"/>
  <c r="C47" i="2"/>
  <c r="E36" i="2"/>
  <c r="G25" i="2"/>
  <c r="C15" i="2"/>
  <c r="B51" i="2"/>
  <c r="B59" i="2"/>
  <c r="D40" i="2"/>
  <c r="D20" i="2"/>
  <c r="E73" i="2"/>
  <c r="G62" i="2"/>
  <c r="C52" i="2"/>
  <c r="E41" i="2"/>
  <c r="G30" i="2"/>
  <c r="C20" i="2"/>
  <c r="E9" i="2"/>
  <c r="D44" i="2"/>
  <c r="B15" i="2"/>
  <c r="F86" i="2"/>
  <c r="B76" i="2"/>
  <c r="D65" i="2"/>
  <c r="F54" i="2"/>
  <c r="B44" i="2"/>
  <c r="D33" i="2"/>
  <c r="F22" i="2"/>
  <c r="G43" i="2"/>
  <c r="C29" i="2"/>
  <c r="D62" i="2"/>
  <c r="C34" i="2"/>
  <c r="B63" i="2"/>
  <c r="F85" i="2"/>
  <c r="D75" i="2"/>
  <c r="D43" i="2"/>
  <c r="C67" i="2"/>
  <c r="G13" i="2"/>
  <c r="C72" i="2"/>
  <c r="G18" i="2"/>
  <c r="F42" i="2"/>
  <c r="E29" i="2"/>
  <c r="D50" i="2"/>
  <c r="C41" i="2"/>
  <c r="E26" i="2"/>
  <c r="F7" i="2"/>
  <c r="B61" i="2"/>
  <c r="G27" i="2"/>
  <c r="F39" i="2"/>
  <c r="B29" i="2"/>
  <c r="D18" i="2"/>
  <c r="G11" i="2"/>
  <c r="D82" i="2"/>
  <c r="F71" i="2"/>
  <c r="R6" i="2" l="1"/>
  <c r="J86" i="2"/>
  <c r="K86" i="2" s="1"/>
  <c r="I86" i="2"/>
  <c r="I73" i="2"/>
  <c r="J73" i="2"/>
  <c r="K73" i="2" s="1"/>
  <c r="J47" i="2"/>
  <c r="K47" i="2" s="1"/>
  <c r="I47" i="2"/>
  <c r="J82" i="2"/>
  <c r="K82" i="2" s="1"/>
  <c r="I82" i="2"/>
  <c r="J52" i="2"/>
  <c r="K52" i="2" s="1"/>
  <c r="I52" i="2"/>
  <c r="J43" i="2"/>
  <c r="K43" i="2" s="1"/>
  <c r="I43" i="2"/>
  <c r="J13" i="2"/>
  <c r="K13" i="2" s="1"/>
  <c r="I13" i="2"/>
  <c r="I28" i="2"/>
  <c r="J28" i="2"/>
  <c r="K28" i="2" s="1"/>
  <c r="J17" i="2"/>
  <c r="K17" i="2" s="1"/>
  <c r="I17" i="2"/>
  <c r="J71" i="2"/>
  <c r="K71" i="2" s="1"/>
  <c r="I71" i="2"/>
  <c r="J67" i="2"/>
  <c r="K67" i="2" s="1"/>
  <c r="I67" i="2"/>
  <c r="J63" i="2"/>
  <c r="K63" i="2" s="1"/>
  <c r="I63" i="2"/>
  <c r="J51" i="2"/>
  <c r="K51" i="2" s="1"/>
  <c r="I51" i="2"/>
  <c r="J56" i="2"/>
  <c r="K56" i="2" s="1"/>
  <c r="I56" i="2"/>
  <c r="J21" i="2"/>
  <c r="K21" i="2" s="1"/>
  <c r="I21" i="2"/>
  <c r="I58" i="2"/>
  <c r="J58" i="2"/>
  <c r="K58" i="2" s="1"/>
  <c r="J38" i="2"/>
  <c r="K38" i="2" s="1"/>
  <c r="I38" i="2"/>
  <c r="J31" i="2"/>
  <c r="K31" i="2" s="1"/>
  <c r="I31" i="2"/>
  <c r="I25" i="2"/>
  <c r="J25" i="2"/>
  <c r="K25" i="2" s="1"/>
  <c r="J84" i="2"/>
  <c r="K84" i="2" s="1"/>
  <c r="I84" i="2"/>
  <c r="J24" i="2"/>
  <c r="K24" i="2" s="1"/>
  <c r="I24" i="2"/>
  <c r="J78" i="2"/>
  <c r="K78" i="2" s="1"/>
  <c r="I78" i="2"/>
  <c r="J72" i="2"/>
  <c r="K72" i="2" s="1"/>
  <c r="I72" i="2"/>
  <c r="J57" i="2"/>
  <c r="K57" i="2" s="1"/>
  <c r="I57" i="2"/>
  <c r="J83" i="2"/>
  <c r="K83" i="2" s="1"/>
  <c r="I83" i="2"/>
  <c r="I68" i="2"/>
  <c r="J68" i="2"/>
  <c r="K68" i="2" s="1"/>
  <c r="I48" i="2"/>
  <c r="J48" i="2"/>
  <c r="K48" i="2" s="1"/>
  <c r="J32" i="2"/>
  <c r="K32" i="2" s="1"/>
  <c r="I32" i="2"/>
  <c r="J37" i="2"/>
  <c r="K37" i="2" s="1"/>
  <c r="I37" i="2"/>
  <c r="J29" i="2"/>
  <c r="K29" i="2" s="1"/>
  <c r="I29" i="2"/>
  <c r="J44" i="2"/>
  <c r="K44" i="2" s="1"/>
  <c r="I44" i="2"/>
  <c r="J59" i="2"/>
  <c r="K59" i="2" s="1"/>
  <c r="I59" i="2"/>
  <c r="J14" i="2"/>
  <c r="K14" i="2" s="1"/>
  <c r="I14" i="2"/>
  <c r="I18" i="2"/>
  <c r="J18" i="2"/>
  <c r="K18" i="2" s="1"/>
  <c r="J8" i="2"/>
  <c r="K8" i="2" s="1"/>
  <c r="I8" i="2"/>
  <c r="I42" i="2"/>
  <c r="J42" i="2"/>
  <c r="K42" i="2" s="1"/>
  <c r="I34" i="2"/>
  <c r="J34" i="2"/>
  <c r="K34" i="2" s="1"/>
  <c r="J23" i="2"/>
  <c r="K23" i="2" s="1"/>
  <c r="I23" i="2"/>
  <c r="J80" i="2"/>
  <c r="K80" i="2" s="1"/>
  <c r="I80" i="2"/>
  <c r="J39" i="2"/>
  <c r="K39" i="2" s="1"/>
  <c r="I39" i="2"/>
  <c r="J69" i="2"/>
  <c r="K69" i="2" s="1"/>
  <c r="I69" i="2"/>
  <c r="J45" i="2"/>
  <c r="K45" i="2" s="1"/>
  <c r="I45" i="2"/>
  <c r="I60" i="2"/>
  <c r="J60" i="2"/>
  <c r="K60" i="2" s="1"/>
  <c r="J49" i="2"/>
  <c r="K49" i="2" s="1"/>
  <c r="I49" i="2"/>
  <c r="J7" i="2"/>
  <c r="K7" i="2" s="1"/>
  <c r="I7" i="2"/>
  <c r="J61" i="2"/>
  <c r="K61" i="2" s="1"/>
  <c r="I61" i="2"/>
  <c r="J76" i="2"/>
  <c r="K76" i="2" s="1"/>
  <c r="I76" i="2"/>
  <c r="J46" i="2"/>
  <c r="K46" i="2" s="1"/>
  <c r="I46" i="2"/>
  <c r="I9" i="2"/>
  <c r="J9" i="2"/>
  <c r="K9" i="2" s="1"/>
  <c r="J53" i="2"/>
  <c r="K53" i="2" s="1"/>
  <c r="I53" i="2"/>
  <c r="J65" i="2"/>
  <c r="K65" i="2" s="1"/>
  <c r="I65" i="2"/>
  <c r="I50" i="2"/>
  <c r="J50" i="2"/>
  <c r="K50" i="2" s="1"/>
  <c r="I40" i="2"/>
  <c r="J40" i="2"/>
  <c r="K40" i="2" s="1"/>
  <c r="I20" i="2"/>
  <c r="J20" i="2"/>
  <c r="K20" i="2" s="1"/>
  <c r="J74" i="2"/>
  <c r="K74" i="2" s="1"/>
  <c r="I74" i="2"/>
  <c r="J26" i="2"/>
  <c r="K26" i="2" s="1"/>
  <c r="I26" i="2"/>
  <c r="J27" i="2"/>
  <c r="K27" i="2" s="1"/>
  <c r="I27" i="2"/>
  <c r="J12" i="2"/>
  <c r="K12" i="2" s="1"/>
  <c r="I12" i="2"/>
  <c r="J22" i="2"/>
  <c r="K22" i="2" s="1"/>
  <c r="I22" i="2"/>
  <c r="I36" i="2"/>
  <c r="J36" i="2"/>
  <c r="K36" i="2" s="1"/>
  <c r="I16" i="2"/>
  <c r="J16" i="2"/>
  <c r="K16" i="2" s="1"/>
  <c r="J70" i="2"/>
  <c r="K70" i="2" s="1"/>
  <c r="I70" i="2"/>
  <c r="J64" i="2"/>
  <c r="K64" i="2" s="1"/>
  <c r="I64" i="2"/>
  <c r="J35" i="2"/>
  <c r="K35" i="2" s="1"/>
  <c r="I35" i="2"/>
  <c r="J87" i="2"/>
  <c r="K87" i="2" s="1"/>
  <c r="I87" i="2"/>
  <c r="I6" i="2"/>
  <c r="J6" i="2"/>
  <c r="K6" i="2" s="1"/>
  <c r="J11" i="2"/>
  <c r="K11" i="2" s="1"/>
  <c r="I11" i="2"/>
  <c r="J75" i="2"/>
  <c r="K75" i="2" s="1"/>
  <c r="I75" i="2"/>
  <c r="I77" i="2"/>
  <c r="J77" i="2"/>
  <c r="K77" i="2" s="1"/>
  <c r="J33" i="2"/>
  <c r="K33" i="2" s="1"/>
  <c r="I33" i="2"/>
  <c r="J62" i="2"/>
  <c r="K62" i="2" s="1"/>
  <c r="I62" i="2"/>
  <c r="J15" i="2"/>
  <c r="K15" i="2" s="1"/>
  <c r="I15" i="2"/>
  <c r="J66" i="2"/>
  <c r="K66" i="2" s="1"/>
  <c r="I66" i="2"/>
  <c r="J54" i="2"/>
  <c r="K54" i="2" s="1"/>
  <c r="I54" i="2"/>
  <c r="J19" i="2"/>
  <c r="K19" i="2" s="1"/>
  <c r="I19" i="2"/>
  <c r="J41" i="2"/>
  <c r="K41" i="2" s="1"/>
  <c r="I41" i="2"/>
  <c r="I85" i="2"/>
  <c r="J85" i="2"/>
  <c r="K85" i="2" s="1"/>
  <c r="J79" i="2"/>
  <c r="K79" i="2" s="1"/>
  <c r="I79" i="2"/>
  <c r="I30" i="2"/>
  <c r="J30" i="2"/>
  <c r="K30" i="2" s="1"/>
  <c r="I81" i="2"/>
  <c r="J81" i="2"/>
  <c r="K81" i="2" s="1"/>
  <c r="J55" i="2"/>
  <c r="K55" i="2" s="1"/>
  <c r="I55" i="2"/>
  <c r="I10" i="2"/>
  <c r="J10" i="2"/>
  <c r="K10" i="2" s="1"/>
  <c r="I5" i="2"/>
  <c r="J5" i="2"/>
  <c r="K5" i="2" s="1"/>
  <c r="M5" i="2" l="1" a="1"/>
  <c r="N5" i="2" s="1"/>
  <c r="M43" i="2" l="1"/>
  <c r="M59" i="2"/>
  <c r="M34" i="2"/>
  <c r="M33" i="2"/>
  <c r="M28" i="2"/>
  <c r="N33" i="2"/>
  <c r="M39" i="2"/>
  <c r="M58" i="2"/>
  <c r="N34" i="2"/>
  <c r="M5" i="2"/>
  <c r="M21" i="2"/>
  <c r="N9" i="2"/>
  <c r="N49" i="2"/>
  <c r="N12" i="2"/>
  <c r="M18" i="2"/>
  <c r="N14" i="2"/>
  <c r="N53" i="2"/>
  <c r="M31" i="2"/>
  <c r="M17" i="2"/>
  <c r="N7" i="2"/>
  <c r="N46" i="2"/>
  <c r="N30" i="2"/>
  <c r="N58" i="2"/>
  <c r="M53" i="2"/>
  <c r="N60" i="2"/>
  <c r="N43" i="2"/>
  <c r="M37" i="2"/>
  <c r="N56" i="2"/>
  <c r="N39" i="2"/>
  <c r="N44" i="2"/>
  <c r="N51" i="2"/>
  <c r="M8" i="2"/>
  <c r="N40" i="2"/>
  <c r="N22" i="2"/>
  <c r="M40" i="2"/>
  <c r="N37" i="2"/>
  <c r="N52" i="2"/>
  <c r="M14" i="2"/>
  <c r="M54" i="2"/>
  <c r="N10" i="2"/>
  <c r="M50" i="2"/>
  <c r="N61" i="2"/>
  <c r="N63" i="2"/>
  <c r="M61" i="2"/>
  <c r="N15" i="2"/>
  <c r="M26" i="2"/>
  <c r="N31" i="2"/>
  <c r="N6" i="2"/>
  <c r="M57" i="2"/>
  <c r="N57" i="2"/>
  <c r="M16" i="2"/>
  <c r="N19" i="2"/>
  <c r="M38" i="2"/>
  <c r="M7" i="2"/>
  <c r="N48" i="2"/>
  <c r="M35" i="2"/>
  <c r="M56" i="2"/>
  <c r="M10" i="2"/>
  <c r="N16" i="2"/>
  <c r="M13" i="2"/>
  <c r="N47" i="2"/>
  <c r="N11" i="2"/>
  <c r="M9" i="2"/>
  <c r="M22" i="2"/>
  <c r="N38" i="2"/>
  <c r="M30" i="2"/>
  <c r="M55" i="2"/>
  <c r="M23" i="2"/>
  <c r="N21" i="2"/>
  <c r="M46" i="2"/>
  <c r="M6" i="2"/>
  <c r="M41" i="2"/>
  <c r="N26" i="2"/>
  <c r="M25" i="2"/>
  <c r="N8" i="2"/>
  <c r="N13" i="2"/>
  <c r="N23" i="2"/>
  <c r="N55" i="2"/>
  <c r="M36" i="2"/>
  <c r="N35" i="2"/>
  <c r="N24" i="2"/>
  <c r="M32" i="2"/>
  <c r="N54" i="2"/>
  <c r="N36" i="2"/>
  <c r="M15" i="2"/>
  <c r="M24" i="2"/>
  <c r="N25" i="2"/>
  <c r="M60" i="2"/>
  <c r="M52" i="2"/>
  <c r="N62" i="2"/>
  <c r="N65" i="2"/>
  <c r="M20" i="2"/>
  <c r="M45" i="2"/>
  <c r="M65" i="2"/>
  <c r="N59" i="2"/>
  <c r="N17" i="2"/>
  <c r="N45" i="2"/>
  <c r="M47" i="2"/>
  <c r="N27" i="2"/>
  <c r="N32" i="2"/>
  <c r="M49" i="2"/>
  <c r="M51" i="2"/>
  <c r="M48" i="2"/>
  <c r="N64" i="2"/>
  <c r="M62" i="2"/>
  <c r="M44" i="2"/>
  <c r="M63" i="2"/>
  <c r="N50" i="2"/>
  <c r="N28" i="2"/>
  <c r="M64" i="2"/>
  <c r="N42" i="2"/>
  <c r="M29" i="2"/>
  <c r="N20" i="2"/>
  <c r="M27" i="2"/>
  <c r="M11" i="2"/>
  <c r="M12" i="2"/>
  <c r="M19" i="2"/>
  <c r="N18" i="2"/>
  <c r="M42" i="2"/>
  <c r="N29" i="2"/>
  <c r="N41" i="2"/>
  <c r="O5" i="2" l="1" a="1"/>
  <c r="O5" i="2" s="1"/>
  <c r="O33" i="2" l="1"/>
  <c r="O31" i="2"/>
  <c r="O38" i="2"/>
  <c r="O61" i="2"/>
  <c r="O9" i="2"/>
  <c r="O7" i="2"/>
  <c r="O62" i="2"/>
  <c r="O46" i="2"/>
  <c r="O13" i="2"/>
  <c r="O57" i="2"/>
  <c r="O24" i="2"/>
  <c r="O39" i="2"/>
  <c r="O26" i="2"/>
  <c r="O15" i="2"/>
  <c r="O60" i="2"/>
  <c r="O22" i="2"/>
  <c r="O8" i="2"/>
  <c r="O28" i="2"/>
  <c r="O48" i="2"/>
  <c r="O14" i="2"/>
  <c r="O55" i="2"/>
  <c r="O37" i="2"/>
  <c r="O43" i="2"/>
  <c r="O20" i="2"/>
  <c r="O65" i="2"/>
  <c r="O42" i="2"/>
  <c r="O25" i="2"/>
  <c r="O27" i="2"/>
  <c r="O17" i="2"/>
  <c r="O49" i="2"/>
  <c r="O47" i="2"/>
  <c r="O64" i="2"/>
  <c r="O12" i="2"/>
  <c r="O18" i="2"/>
  <c r="O10" i="2"/>
  <c r="O35" i="2"/>
  <c r="O29" i="2"/>
  <c r="O32" i="2"/>
  <c r="O40" i="2"/>
  <c r="O54" i="2"/>
  <c r="O51" i="2"/>
  <c r="O30" i="2"/>
  <c r="O19" i="2"/>
  <c r="O36" i="2"/>
  <c r="O44" i="2"/>
  <c r="O56" i="2"/>
  <c r="O23" i="2"/>
  <c r="O34" i="2"/>
  <c r="O59" i="2"/>
  <c r="O16" i="2"/>
  <c r="O11" i="2"/>
  <c r="O52" i="2"/>
  <c r="O63" i="2"/>
  <c r="O6" i="2"/>
  <c r="O41" i="2"/>
  <c r="O53" i="2"/>
  <c r="O21" i="2"/>
  <c r="O45" i="2"/>
  <c r="O58" i="2"/>
  <c r="O50" i="2"/>
</calcChain>
</file>

<file path=xl/sharedStrings.xml><?xml version="1.0" encoding="utf-8"?>
<sst xmlns="http://schemas.openxmlformats.org/spreadsheetml/2006/main" count="79" uniqueCount="40">
  <si>
    <t>obj</t>
  </si>
  <si>
    <t>srs</t>
  </si>
  <si>
    <t>new</t>
  </si>
  <si>
    <t>.</t>
  </si>
  <si>
    <t>cur</t>
  </si>
  <si>
    <t>iterations per step</t>
  </si>
  <si>
    <t>n</t>
  </si>
  <si>
    <t>GQ==</t>
  </si>
  <si>
    <t>AA==</t>
  </si>
  <si>
    <t>AQ==</t>
  </si>
  <si>
    <t>GA==</t>
  </si>
  <si>
    <t>Eg==</t>
  </si>
  <si>
    <t>kA==</t>
  </si>
  <si>
    <t>FA==</t>
  </si>
  <si>
    <t>EQ==</t>
  </si>
  <si>
    <t>Ag==</t>
  </si>
  <si>
    <t>Fw==</t>
  </si>
  <si>
    <t>Gw==</t>
  </si>
  <si>
    <t>Gg==</t>
  </si>
  <si>
    <t>BQ==</t>
  </si>
  <si>
    <t>Bg==</t>
  </si>
  <si>
    <t>BA==</t>
  </si>
  <si>
    <t>Vg==</t>
  </si>
  <si>
    <t>FQ==</t>
  </si>
  <si>
    <t>Aw==</t>
  </si>
  <si>
    <t>Ew==</t>
  </si>
  <si>
    <t>Dg==</t>
  </si>
  <si>
    <t>Hg==</t>
  </si>
  <si>
    <t>Fg==</t>
  </si>
  <si>
    <t>HA==</t>
  </si>
  <si>
    <t>HQ==</t>
  </si>
  <si>
    <t>CQ==</t>
  </si>
  <si>
    <t>CA==</t>
  </si>
  <si>
    <t>PA==</t>
  </si>
  <si>
    <t>https://math.berkeley.edu/~peyam/Math1ASp11/Optimization.pdf</t>
  </si>
  <si>
    <t>Problem 5: At which points on the curvey= 1 + 40x^3−3x^5 does the tangent line have largest slope?</t>
  </si>
  <si>
    <t>f(x)</t>
  </si>
  <si>
    <t>f`(x)</t>
  </si>
  <si>
    <t>at x =</t>
  </si>
  <si>
    <t>f0,.02,1000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</si>
</sst>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Border="1"/>
    <xf numFmtId="0" fontId="2" fillId="0" borderId="0" xfId="0" applyFont="1" applyBorder="1"/>
    <xf numFmtId="0" fontId="0" fillId="3" borderId="0" xfId="0" quotePrefix="1" applyFill="1" applyBorder="1"/>
    <xf numFmtId="0" fontId="0" fillId="0" borderId="0" xfId="0" applyFill="1" applyBorder="1"/>
    <xf numFmtId="0" fontId="0" fillId="2" borderId="0" xfId="0" applyFill="1" applyBorder="1"/>
    <xf numFmtId="0" fontId="0" fillId="0" borderId="0" xfId="0" applyBorder="1" applyAlignment="1"/>
    <xf numFmtId="3" fontId="0" fillId="0" borderId="0" xfId="0" applyNumberFormat="1" applyBorder="1" applyAlignment="1"/>
    <xf numFmtId="0" fontId="0" fillId="0" borderId="0" xfId="0" quotePrefix="1" applyFill="1" applyBorder="1"/>
    <xf numFmtId="0" fontId="3" fillId="0" borderId="0" xfId="1" applyBorder="1"/>
    <xf numFmtId="164" fontId="0" fillId="0" borderId="0" xfId="0" applyNumberFormat="1" applyBorder="1"/>
    <xf numFmtId="164" fontId="0" fillId="0" borderId="0" xfId="0" applyNumberFormat="1" applyFill="1" applyBorder="1" applyAlignment="1">
      <alignment textRotation="90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4" borderId="0" xfId="0" applyNumberFormat="1" applyFill="1" applyBorder="1" applyAlignment="1">
      <alignment textRotation="90"/>
    </xf>
    <xf numFmtId="2" fontId="0" fillId="5" borderId="1" xfId="0" applyNumberFormat="1" applyFill="1" applyBorder="1"/>
    <xf numFmtId="2" fontId="0" fillId="5" borderId="2" xfId="0" applyNumberFormat="1" applyFill="1" applyBorder="1"/>
    <xf numFmtId="2" fontId="0" fillId="5" borderId="3" xfId="0" applyNumberFormat="1" applyFill="1" applyBorder="1"/>
    <xf numFmtId="2" fontId="0" fillId="5" borderId="0" xfId="0" applyNumberFormat="1" applyFill="1" applyBorder="1"/>
    <xf numFmtId="4" fontId="0" fillId="0" borderId="0" xfId="0" applyNumberFormat="1" applyBorder="1" applyAlignment="1"/>
  </cellXfs>
  <cellStyles count="2">
    <cellStyle name="Hyperlink" xfId="1" builtinId="8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7</xdr:row>
          <xdr:rowOff>0</xdr:rowOff>
        </xdr:from>
        <xdr:to>
          <xdr:col>16</xdr:col>
          <xdr:colOff>1104900</xdr:colOff>
          <xdr:row>9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1295400</xdr:colOff>
          <xdr:row>7</xdr:row>
          <xdr:rowOff>0</xdr:rowOff>
        </xdr:from>
        <xdr:to>
          <xdr:col>18</xdr:col>
          <xdr:colOff>0</xdr:colOff>
          <xdr:row>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th.berkeley.edu/~peyam/Math1ASp11/Optimization.pd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814-3FBE-4F8B-8BEA-77C74A40FBEE}">
  <sheetPr codeName="Sheet2"/>
  <dimension ref="A1:R87"/>
  <sheetViews>
    <sheetView tabSelected="1" zoomScaleNormal="100" workbookViewId="0">
      <selection activeCell="Q13" sqref="Q13"/>
    </sheetView>
  </sheetViews>
  <sheetFormatPr defaultColWidth="10.42578125" defaultRowHeight="15" x14ac:dyDescent="0.25"/>
  <cols>
    <col min="1" max="1" width="17" style="1" bestFit="1" customWidth="1"/>
    <col min="2" max="2" width="9.42578125" style="13" customWidth="1"/>
    <col min="3" max="3" width="5.85546875" style="13" customWidth="1"/>
    <col min="4" max="7" width="5.5703125" style="13" bestFit="1" customWidth="1"/>
    <col min="8" max="8" width="1.7109375" style="1" customWidth="1"/>
    <col min="9" max="9" width="14.42578125" style="10" bestFit="1" customWidth="1"/>
    <col min="10" max="10" width="12.28515625" style="10" bestFit="1" customWidth="1"/>
    <col min="11" max="11" width="9.42578125" style="10" customWidth="1"/>
    <col min="12" max="12" width="1.5703125" style="1" bestFit="1" customWidth="1"/>
    <col min="13" max="14" width="3" style="1" bestFit="1" customWidth="1"/>
    <col min="15" max="15" width="20.140625" style="1" customWidth="1"/>
    <col min="16" max="16" width="4.5703125" style="1" customWidth="1"/>
    <col min="17" max="17" width="20" style="1" customWidth="1"/>
    <col min="18" max="18" width="10.42578125" style="1"/>
    <col min="19" max="19" width="8.28515625" style="1" customWidth="1"/>
    <col min="20" max="20" width="5.85546875" style="1" customWidth="1"/>
    <col min="21" max="16384" width="10.42578125" style="1"/>
  </cols>
  <sheetData>
    <row r="1" spans="1:18" x14ac:dyDescent="0.25">
      <c r="A1" s="9" t="s">
        <v>34</v>
      </c>
    </row>
    <row r="2" spans="1:18" x14ac:dyDescent="0.25">
      <c r="A2" s="2" t="s">
        <v>35</v>
      </c>
    </row>
    <row r="4" spans="1:18" ht="72" customHeight="1" thickBot="1" x14ac:dyDescent="0.3">
      <c r="A4" s="1" t="s">
        <v>4</v>
      </c>
      <c r="B4" s="14" t="s">
        <v>39</v>
      </c>
      <c r="C4" s="14" t="s">
        <v>6</v>
      </c>
      <c r="D4" s="14" t="s">
        <v>6</v>
      </c>
      <c r="E4" s="14" t="s">
        <v>6</v>
      </c>
      <c r="F4" s="14" t="s">
        <v>6</v>
      </c>
      <c r="G4" s="14" t="s">
        <v>6</v>
      </c>
      <c r="H4" s="1" t="s">
        <v>3</v>
      </c>
      <c r="I4" s="11" t="s">
        <v>36</v>
      </c>
      <c r="J4" s="11" t="s">
        <v>37</v>
      </c>
      <c r="K4" s="10" t="s">
        <v>0</v>
      </c>
      <c r="L4" s="1" t="s">
        <v>3</v>
      </c>
      <c r="M4" s="12" t="s">
        <v>1</v>
      </c>
      <c r="N4" s="12"/>
      <c r="O4" s="1" t="s">
        <v>2</v>
      </c>
    </row>
    <row r="5" spans="1:18" ht="15.75" thickBot="1" x14ac:dyDescent="0.3">
      <c r="A5" s="3" t="s">
        <v>7</v>
      </c>
      <c r="B5" s="15">
        <f t="array" ref="B5:G87">_xll.gxParse($B$4:$G$4,$A5:$A87)</f>
        <v>2</v>
      </c>
      <c r="C5" s="16" t="e">
        <v>#N/A</v>
      </c>
      <c r="D5" s="16" t="e">
        <v>#N/A</v>
      </c>
      <c r="E5" s="16" t="e">
        <v>#N/A</v>
      </c>
      <c r="F5" s="16" t="e">
        <v>#N/A</v>
      </c>
      <c r="G5" s="17" t="e">
        <v>#N/A</v>
      </c>
      <c r="I5" s="10">
        <f>1+40*POWER(B5,3)-3*POWER(B5,5)</f>
        <v>225</v>
      </c>
      <c r="J5" s="10">
        <f>40*3*POWER(B5,2)-3*5*POWER(B5,4)</f>
        <v>240</v>
      </c>
      <c r="K5" s="10">
        <f>MAX(0,J5)</f>
        <v>240</v>
      </c>
      <c r="M5" s="4">
        <f t="array" ref="M5:N65">_xll.gxSample($A$5:$A$87,$K$5:$K$87)</f>
        <v>0</v>
      </c>
      <c r="N5" s="4">
        <v>0</v>
      </c>
      <c r="O5" s="5" t="str">
        <f t="array" ref="O5:O65">_xll.gxCross($A$5:$A$87,$M$5:$N$65)</f>
        <v>GQ==</v>
      </c>
      <c r="Q5" s="1" t="s">
        <v>5</v>
      </c>
      <c r="R5" s="6">
        <v>100</v>
      </c>
    </row>
    <row r="6" spans="1:18" x14ac:dyDescent="0.25">
      <c r="A6" s="3" t="s">
        <v>7</v>
      </c>
      <c r="B6" s="18">
        <v>2</v>
      </c>
      <c r="C6" s="18" t="e">
        <v>#N/A</v>
      </c>
      <c r="D6" s="18" t="e">
        <v>#N/A</v>
      </c>
      <c r="E6" s="18" t="e">
        <v>#N/A</v>
      </c>
      <c r="F6" s="18" t="e">
        <v>#N/A</v>
      </c>
      <c r="G6" s="18" t="e">
        <v>#N/A</v>
      </c>
      <c r="I6" s="10">
        <f t="shared" ref="I6:I69" si="0">1+40*POWER(B6,3)-3*POWER(B6,5)</f>
        <v>225</v>
      </c>
      <c r="J6" s="10">
        <f t="shared" ref="J6:J69" si="1">40*3*POWER(B6,2)-3*5*POWER(B6,4)</f>
        <v>240</v>
      </c>
      <c r="K6" s="10">
        <f t="shared" ref="K6:K69" si="2">MAX(0,J6)</f>
        <v>240</v>
      </c>
      <c r="M6" s="4">
        <v>0</v>
      </c>
      <c r="N6" s="4">
        <v>10</v>
      </c>
      <c r="O6" s="5" t="str">
        <v>Gg==</v>
      </c>
      <c r="Q6" s="7" t="s">
        <v>38</v>
      </c>
      <c r="R6" s="19">
        <f>B5</f>
        <v>2</v>
      </c>
    </row>
    <row r="7" spans="1:18" x14ac:dyDescent="0.25">
      <c r="A7" s="3" t="s">
        <v>31</v>
      </c>
      <c r="B7" s="18">
        <v>0.72</v>
      </c>
      <c r="C7" s="18" t="e">
        <v>#N/A</v>
      </c>
      <c r="D7" s="18" t="e">
        <v>#N/A</v>
      </c>
      <c r="E7" s="18" t="e">
        <v>#N/A</v>
      </c>
      <c r="F7" s="18" t="e">
        <v>#N/A</v>
      </c>
      <c r="G7" s="18" t="e">
        <v>#N/A</v>
      </c>
      <c r="I7" s="10">
        <f t="shared" si="0"/>
        <v>15.349444710399998</v>
      </c>
      <c r="J7" s="10">
        <f t="shared" si="1"/>
        <v>58.1769216</v>
      </c>
      <c r="K7" s="10">
        <f t="shared" si="2"/>
        <v>58.1769216</v>
      </c>
      <c r="M7" s="4">
        <v>0</v>
      </c>
      <c r="N7" s="4">
        <v>31</v>
      </c>
      <c r="O7" s="5" t="str">
        <v>AA==</v>
      </c>
    </row>
    <row r="8" spans="1:18" x14ac:dyDescent="0.25">
      <c r="A8" s="3" t="s">
        <v>9</v>
      </c>
      <c r="B8" s="18">
        <v>0.08</v>
      </c>
      <c r="C8" s="18" t="e">
        <v>#N/A</v>
      </c>
      <c r="D8" s="18" t="e">
        <v>#N/A</v>
      </c>
      <c r="E8" s="18" t="e">
        <v>#N/A</v>
      </c>
      <c r="F8" s="18" t="e">
        <v>#N/A</v>
      </c>
      <c r="G8" s="18" t="e">
        <v>#N/A</v>
      </c>
      <c r="I8" s="10">
        <f t="shared" si="0"/>
        <v>1.0204701696</v>
      </c>
      <c r="J8" s="10">
        <f t="shared" si="1"/>
        <v>0.7673856</v>
      </c>
      <c r="K8" s="10">
        <f t="shared" si="2"/>
        <v>0.7673856</v>
      </c>
      <c r="M8" s="4">
        <v>0</v>
      </c>
      <c r="N8" s="4">
        <v>14</v>
      </c>
      <c r="O8" s="5" t="str">
        <v>Hg==</v>
      </c>
    </row>
    <row r="9" spans="1:18" x14ac:dyDescent="0.25">
      <c r="A9" s="3" t="s">
        <v>20</v>
      </c>
      <c r="B9" s="18">
        <v>0.48</v>
      </c>
      <c r="C9" s="18" t="e">
        <v>#N/A</v>
      </c>
      <c r="D9" s="18" t="e">
        <v>#N/A</v>
      </c>
      <c r="E9" s="18" t="e">
        <v>#N/A</v>
      </c>
      <c r="F9" s="18" t="e">
        <v>#N/A</v>
      </c>
      <c r="G9" s="18" t="e">
        <v>#N/A</v>
      </c>
      <c r="I9" s="10">
        <f t="shared" si="0"/>
        <v>5.3472388096000003</v>
      </c>
      <c r="J9" s="10">
        <f t="shared" si="1"/>
        <v>26.8517376</v>
      </c>
      <c r="K9" s="10">
        <f t="shared" si="2"/>
        <v>26.8517376</v>
      </c>
      <c r="M9" s="4">
        <v>0</v>
      </c>
      <c r="N9" s="4">
        <v>0</v>
      </c>
      <c r="O9" s="5" t="str">
        <v>GQ==</v>
      </c>
    </row>
    <row r="10" spans="1:18" x14ac:dyDescent="0.25">
      <c r="A10" s="3" t="s">
        <v>15</v>
      </c>
      <c r="B10" s="18">
        <v>0.16</v>
      </c>
      <c r="C10" s="18" t="e">
        <v>#N/A</v>
      </c>
      <c r="D10" s="18" t="e">
        <v>#N/A</v>
      </c>
      <c r="E10" s="18" t="e">
        <v>#N/A</v>
      </c>
      <c r="F10" s="18" t="e">
        <v>#N/A</v>
      </c>
      <c r="G10" s="18" t="e">
        <v>#N/A</v>
      </c>
      <c r="I10" s="10">
        <f t="shared" si="0"/>
        <v>1.1635254272</v>
      </c>
      <c r="J10" s="10">
        <f t="shared" si="1"/>
        <v>3.0621696000000003</v>
      </c>
      <c r="K10" s="10">
        <f t="shared" si="2"/>
        <v>3.0621696000000003</v>
      </c>
      <c r="M10" s="4">
        <v>0</v>
      </c>
      <c r="N10" s="4">
        <v>17</v>
      </c>
      <c r="O10" s="5" t="str">
        <v>GQ==</v>
      </c>
    </row>
    <row r="11" spans="1:18" x14ac:dyDescent="0.25">
      <c r="A11" s="3" t="s">
        <v>31</v>
      </c>
      <c r="B11" s="18">
        <v>0.72</v>
      </c>
      <c r="C11" s="18" t="e">
        <v>#N/A</v>
      </c>
      <c r="D11" s="18" t="e">
        <v>#N/A</v>
      </c>
      <c r="E11" s="18" t="e">
        <v>#N/A</v>
      </c>
      <c r="F11" s="18" t="e">
        <v>#N/A</v>
      </c>
      <c r="G11" s="18" t="e">
        <v>#N/A</v>
      </c>
      <c r="I11" s="10">
        <f t="shared" si="0"/>
        <v>15.349444710399998</v>
      </c>
      <c r="J11" s="10">
        <f t="shared" si="1"/>
        <v>58.1769216</v>
      </c>
      <c r="K11" s="10">
        <f t="shared" si="2"/>
        <v>58.1769216</v>
      </c>
      <c r="M11" s="4">
        <v>0</v>
      </c>
      <c r="N11" s="4">
        <v>46</v>
      </c>
      <c r="O11" s="5" t="str">
        <v>Gw==</v>
      </c>
    </row>
    <row r="12" spans="1:18" x14ac:dyDescent="0.25">
      <c r="A12" s="3" t="s">
        <v>23</v>
      </c>
      <c r="B12" s="18">
        <v>1.68</v>
      </c>
      <c r="C12" s="18" t="e">
        <v>#N/A</v>
      </c>
      <c r="D12" s="18" t="e">
        <v>#N/A</v>
      </c>
      <c r="E12" s="18" t="e">
        <v>#N/A</v>
      </c>
      <c r="F12" s="18" t="e">
        <v>#N/A</v>
      </c>
      <c r="G12" s="18" t="e">
        <v>#N/A</v>
      </c>
      <c r="I12" s="10">
        <f t="shared" si="0"/>
        <v>150.51693352959998</v>
      </c>
      <c r="J12" s="10">
        <f t="shared" si="1"/>
        <v>219.19887359999996</v>
      </c>
      <c r="K12" s="10">
        <f t="shared" si="2"/>
        <v>219.19887359999996</v>
      </c>
      <c r="M12" s="4">
        <v>0</v>
      </c>
      <c r="N12" s="4">
        <v>7</v>
      </c>
      <c r="O12" s="5" t="str">
        <v>FA==</v>
      </c>
    </row>
    <row r="13" spans="1:18" x14ac:dyDescent="0.25">
      <c r="A13" s="3" t="s">
        <v>7</v>
      </c>
      <c r="B13" s="18">
        <v>2</v>
      </c>
      <c r="C13" s="18" t="e">
        <v>#N/A</v>
      </c>
      <c r="D13" s="18" t="e">
        <v>#N/A</v>
      </c>
      <c r="E13" s="18" t="e">
        <v>#N/A</v>
      </c>
      <c r="F13" s="18" t="e">
        <v>#N/A</v>
      </c>
      <c r="G13" s="18" t="e">
        <v>#N/A</v>
      </c>
      <c r="I13" s="10">
        <f t="shared" si="0"/>
        <v>225</v>
      </c>
      <c r="J13" s="10">
        <f t="shared" si="1"/>
        <v>240</v>
      </c>
      <c r="K13" s="10">
        <f t="shared" si="2"/>
        <v>240</v>
      </c>
      <c r="M13" s="4">
        <v>0</v>
      </c>
      <c r="N13" s="4">
        <v>7</v>
      </c>
      <c r="O13" s="5" t="str">
        <v>FQ==</v>
      </c>
    </row>
    <row r="14" spans="1:18" x14ac:dyDescent="0.25">
      <c r="A14" s="3" t="s">
        <v>20</v>
      </c>
      <c r="B14" s="18">
        <v>0.48</v>
      </c>
      <c r="C14" s="18" t="e">
        <v>#N/A</v>
      </c>
      <c r="D14" s="18" t="e">
        <v>#N/A</v>
      </c>
      <c r="E14" s="18" t="e">
        <v>#N/A</v>
      </c>
      <c r="F14" s="18" t="e">
        <v>#N/A</v>
      </c>
      <c r="G14" s="18" t="e">
        <v>#N/A</v>
      </c>
      <c r="I14" s="10">
        <f t="shared" si="0"/>
        <v>5.3472388096000003</v>
      </c>
      <c r="J14" s="10">
        <f t="shared" si="1"/>
        <v>26.8517376</v>
      </c>
      <c r="K14" s="10">
        <f t="shared" si="2"/>
        <v>26.8517376</v>
      </c>
      <c r="M14" s="4">
        <v>0</v>
      </c>
      <c r="N14" s="4">
        <v>52</v>
      </c>
      <c r="O14" s="5" t="str">
        <v>GQ==</v>
      </c>
    </row>
    <row r="15" spans="1:18" x14ac:dyDescent="0.25">
      <c r="A15" s="3" t="s">
        <v>18</v>
      </c>
      <c r="B15" s="18">
        <v>2.08</v>
      </c>
      <c r="C15" s="18" t="e">
        <v>#N/A</v>
      </c>
      <c r="D15" s="18" t="e">
        <v>#N/A</v>
      </c>
      <c r="E15" s="18" t="e">
        <v>#N/A</v>
      </c>
      <c r="F15" s="18" t="e">
        <v>#N/A</v>
      </c>
      <c r="G15" s="18" t="e">
        <v>#N/A</v>
      </c>
      <c r="I15" s="10">
        <f t="shared" si="0"/>
        <v>244.15780136960001</v>
      </c>
      <c r="J15" s="10">
        <f t="shared" si="1"/>
        <v>238.40194559999998</v>
      </c>
      <c r="K15" s="10">
        <f t="shared" si="2"/>
        <v>238.40194559999998</v>
      </c>
      <c r="M15" s="4">
        <v>0</v>
      </c>
      <c r="N15" s="4">
        <v>13</v>
      </c>
      <c r="O15" s="5" t="str">
        <v>GQ==</v>
      </c>
    </row>
    <row r="16" spans="1:18" x14ac:dyDescent="0.25">
      <c r="A16" s="3" t="s">
        <v>8</v>
      </c>
      <c r="B16" s="18">
        <v>0</v>
      </c>
      <c r="C16" s="18" t="e">
        <v>#N/A</v>
      </c>
      <c r="D16" s="18" t="e">
        <v>#N/A</v>
      </c>
      <c r="E16" s="18" t="e">
        <v>#N/A</v>
      </c>
      <c r="F16" s="18" t="e">
        <v>#N/A</v>
      </c>
      <c r="G16" s="18" t="e">
        <v>#N/A</v>
      </c>
      <c r="I16" s="10">
        <f t="shared" si="0"/>
        <v>1</v>
      </c>
      <c r="J16" s="10">
        <f t="shared" si="1"/>
        <v>0</v>
      </c>
      <c r="K16" s="10">
        <f t="shared" si="2"/>
        <v>0</v>
      </c>
      <c r="M16" s="4">
        <v>0</v>
      </c>
      <c r="N16" s="4">
        <v>13</v>
      </c>
      <c r="O16" s="5" t="str">
        <v>GA==</v>
      </c>
    </row>
    <row r="17" spans="1:15" x14ac:dyDescent="0.25">
      <c r="A17" s="3" t="s">
        <v>8</v>
      </c>
      <c r="B17" s="18">
        <v>0</v>
      </c>
      <c r="C17" s="18" t="e">
        <v>#N/A</v>
      </c>
      <c r="D17" s="18" t="e">
        <v>#N/A</v>
      </c>
      <c r="E17" s="18" t="e">
        <v>#N/A</v>
      </c>
      <c r="F17" s="18" t="e">
        <v>#N/A</v>
      </c>
      <c r="G17" s="18" t="e">
        <v>#N/A</v>
      </c>
      <c r="I17" s="10">
        <f t="shared" si="0"/>
        <v>1</v>
      </c>
      <c r="J17" s="10">
        <f t="shared" si="1"/>
        <v>0</v>
      </c>
      <c r="K17" s="10">
        <f t="shared" si="2"/>
        <v>0</v>
      </c>
      <c r="M17" s="4">
        <v>0</v>
      </c>
      <c r="N17" s="4">
        <v>13</v>
      </c>
      <c r="O17" s="5" t="str">
        <v>AA==</v>
      </c>
    </row>
    <row r="18" spans="1:15" x14ac:dyDescent="0.25">
      <c r="A18" s="3" t="s">
        <v>10</v>
      </c>
      <c r="B18" s="18">
        <v>1.92</v>
      </c>
      <c r="C18" s="18" t="e">
        <v>#N/A</v>
      </c>
      <c r="D18" s="18" t="e">
        <v>#N/A</v>
      </c>
      <c r="E18" s="18" t="e">
        <v>#N/A</v>
      </c>
      <c r="F18" s="18" t="e">
        <v>#N/A</v>
      </c>
      <c r="G18" s="18" t="e">
        <v>#N/A</v>
      </c>
      <c r="I18" s="10">
        <f t="shared" si="0"/>
        <v>205.83974103040001</v>
      </c>
      <c r="J18" s="10">
        <f t="shared" si="1"/>
        <v>238.52482560000001</v>
      </c>
      <c r="K18" s="10">
        <f t="shared" si="2"/>
        <v>238.52482560000001</v>
      </c>
      <c r="M18" s="4">
        <v>13</v>
      </c>
      <c r="N18" s="4">
        <v>13</v>
      </c>
      <c r="O18" s="5" t="str">
        <v>GA==</v>
      </c>
    </row>
    <row r="19" spans="1:15" x14ac:dyDescent="0.25">
      <c r="A19" s="3" t="s">
        <v>27</v>
      </c>
      <c r="B19" s="18">
        <v>2.4</v>
      </c>
      <c r="C19" s="18" t="e">
        <v>#N/A</v>
      </c>
      <c r="D19" s="18" t="e">
        <v>#N/A</v>
      </c>
      <c r="E19" s="18" t="e">
        <v>#N/A</v>
      </c>
      <c r="F19" s="18" t="e">
        <v>#N/A</v>
      </c>
      <c r="G19" s="18" t="e">
        <v>#N/A</v>
      </c>
      <c r="I19" s="10">
        <f t="shared" si="0"/>
        <v>315.08128000000005</v>
      </c>
      <c r="J19" s="10">
        <f t="shared" si="1"/>
        <v>193.53599999999994</v>
      </c>
      <c r="K19" s="10">
        <f t="shared" si="2"/>
        <v>193.53599999999994</v>
      </c>
      <c r="M19" s="4">
        <v>13</v>
      </c>
      <c r="N19" s="4">
        <v>31</v>
      </c>
      <c r="O19" s="5" t="str">
        <v>CA==</v>
      </c>
    </row>
    <row r="20" spans="1:15" x14ac:dyDescent="0.25">
      <c r="A20" s="3" t="s">
        <v>10</v>
      </c>
      <c r="B20" s="18">
        <v>1.92</v>
      </c>
      <c r="C20" s="18" t="e">
        <v>#N/A</v>
      </c>
      <c r="D20" s="18" t="e">
        <v>#N/A</v>
      </c>
      <c r="E20" s="18" t="e">
        <v>#N/A</v>
      </c>
      <c r="F20" s="18" t="e">
        <v>#N/A</v>
      </c>
      <c r="G20" s="18" t="e">
        <v>#N/A</v>
      </c>
      <c r="I20" s="10">
        <f t="shared" si="0"/>
        <v>205.83974103040001</v>
      </c>
      <c r="J20" s="10">
        <f t="shared" si="1"/>
        <v>238.52482560000001</v>
      </c>
      <c r="K20" s="10">
        <f t="shared" si="2"/>
        <v>238.52482560000001</v>
      </c>
      <c r="M20" s="4">
        <v>13</v>
      </c>
      <c r="N20" s="4">
        <v>31</v>
      </c>
      <c r="O20" s="5" t="str">
        <v>Dg==</v>
      </c>
    </row>
    <row r="21" spans="1:15" x14ac:dyDescent="0.25">
      <c r="A21" s="3" t="s">
        <v>20</v>
      </c>
      <c r="B21" s="18">
        <v>0.48</v>
      </c>
      <c r="C21" s="18" t="e">
        <v>#N/A</v>
      </c>
      <c r="D21" s="18" t="e">
        <v>#N/A</v>
      </c>
      <c r="E21" s="18" t="e">
        <v>#N/A</v>
      </c>
      <c r="F21" s="18" t="e">
        <v>#N/A</v>
      </c>
      <c r="G21" s="18" t="e">
        <v>#N/A</v>
      </c>
      <c r="I21" s="10">
        <f t="shared" si="0"/>
        <v>5.3472388096000003</v>
      </c>
      <c r="J21" s="10">
        <f t="shared" si="1"/>
        <v>26.8517376</v>
      </c>
      <c r="K21" s="10">
        <f t="shared" si="2"/>
        <v>26.8517376</v>
      </c>
      <c r="M21" s="4">
        <v>13</v>
      </c>
      <c r="N21" s="4">
        <v>52</v>
      </c>
      <c r="O21" s="5" t="str">
        <v>GA==</v>
      </c>
    </row>
    <row r="22" spans="1:15" x14ac:dyDescent="0.25">
      <c r="A22" s="3" t="s">
        <v>29</v>
      </c>
      <c r="B22" s="18">
        <v>2.2400000000000002</v>
      </c>
      <c r="C22" s="18" t="e">
        <v>#N/A</v>
      </c>
      <c r="D22" s="18" t="e">
        <v>#N/A</v>
      </c>
      <c r="E22" s="18" t="e">
        <v>#N/A</v>
      </c>
      <c r="F22" s="18" t="e">
        <v>#N/A</v>
      </c>
      <c r="G22" s="18" t="e">
        <v>#N/A</v>
      </c>
      <c r="I22" s="10">
        <f t="shared" si="0"/>
        <v>281.39215841280009</v>
      </c>
      <c r="J22" s="10">
        <f t="shared" si="1"/>
        <v>224.46735359999997</v>
      </c>
      <c r="K22" s="10">
        <f t="shared" si="2"/>
        <v>224.46735359999997</v>
      </c>
      <c r="M22" s="4">
        <v>13</v>
      </c>
      <c r="N22" s="4">
        <v>26</v>
      </c>
      <c r="O22" s="5" t="str">
        <v>Fg==</v>
      </c>
    </row>
    <row r="23" spans="1:15" x14ac:dyDescent="0.25">
      <c r="A23" s="3" t="s">
        <v>8</v>
      </c>
      <c r="B23" s="18">
        <v>0</v>
      </c>
      <c r="C23" s="18" t="e">
        <v>#N/A</v>
      </c>
      <c r="D23" s="18" t="e">
        <v>#N/A</v>
      </c>
      <c r="E23" s="18" t="e">
        <v>#N/A</v>
      </c>
      <c r="F23" s="18" t="e">
        <v>#N/A</v>
      </c>
      <c r="G23" s="18" t="e">
        <v>#N/A</v>
      </c>
      <c r="I23" s="10">
        <f t="shared" si="0"/>
        <v>1</v>
      </c>
      <c r="J23" s="10">
        <f t="shared" si="1"/>
        <v>0</v>
      </c>
      <c r="K23" s="10">
        <f t="shared" si="2"/>
        <v>0</v>
      </c>
      <c r="M23" s="4">
        <v>13</v>
      </c>
      <c r="N23" s="4">
        <v>7</v>
      </c>
      <c r="O23" s="5" t="str">
        <v>BQ==</v>
      </c>
    </row>
    <row r="24" spans="1:15" x14ac:dyDescent="0.25">
      <c r="A24" s="3" t="s">
        <v>25</v>
      </c>
      <c r="B24" s="18">
        <v>1.52</v>
      </c>
      <c r="C24" s="18" t="e">
        <v>#N/A</v>
      </c>
      <c r="D24" s="18" t="e">
        <v>#N/A</v>
      </c>
      <c r="E24" s="18" t="e">
        <v>#N/A</v>
      </c>
      <c r="F24" s="18" t="e">
        <v>#N/A</v>
      </c>
      <c r="G24" s="18" t="e">
        <v>#N/A</v>
      </c>
      <c r="I24" s="10">
        <f t="shared" si="0"/>
        <v>117.13127639040002</v>
      </c>
      <c r="J24" s="10">
        <f t="shared" si="1"/>
        <v>197.17877759999999</v>
      </c>
      <c r="K24" s="10">
        <f t="shared" si="2"/>
        <v>197.17877759999999</v>
      </c>
      <c r="M24" s="4">
        <v>13</v>
      </c>
      <c r="N24" s="4">
        <v>13</v>
      </c>
      <c r="O24" s="5" t="str">
        <v>GA==</v>
      </c>
    </row>
    <row r="25" spans="1:15" x14ac:dyDescent="0.25">
      <c r="A25" s="3" t="s">
        <v>10</v>
      </c>
      <c r="B25" s="18">
        <v>1.92</v>
      </c>
      <c r="C25" s="18" t="e">
        <v>#N/A</v>
      </c>
      <c r="D25" s="18" t="e">
        <v>#N/A</v>
      </c>
      <c r="E25" s="18" t="e">
        <v>#N/A</v>
      </c>
      <c r="F25" s="18" t="e">
        <v>#N/A</v>
      </c>
      <c r="G25" s="18" t="e">
        <v>#N/A</v>
      </c>
      <c r="I25" s="10">
        <f t="shared" si="0"/>
        <v>205.83974103040001</v>
      </c>
      <c r="J25" s="10">
        <f t="shared" si="1"/>
        <v>238.52482560000001</v>
      </c>
      <c r="K25" s="10">
        <f t="shared" si="2"/>
        <v>238.52482560000001</v>
      </c>
      <c r="M25" s="4">
        <v>13</v>
      </c>
      <c r="N25" s="4">
        <v>7</v>
      </c>
      <c r="O25" s="5" t="str">
        <v>AQ==</v>
      </c>
    </row>
    <row r="26" spans="1:15" x14ac:dyDescent="0.25">
      <c r="A26" s="3" t="s">
        <v>23</v>
      </c>
      <c r="B26" s="18">
        <v>1.68</v>
      </c>
      <c r="C26" s="18" t="e">
        <v>#N/A</v>
      </c>
      <c r="D26" s="18" t="e">
        <v>#N/A</v>
      </c>
      <c r="E26" s="18" t="e">
        <v>#N/A</v>
      </c>
      <c r="F26" s="18" t="e">
        <v>#N/A</v>
      </c>
      <c r="G26" s="18" t="e">
        <v>#N/A</v>
      </c>
      <c r="I26" s="10">
        <f t="shared" si="0"/>
        <v>150.51693352959998</v>
      </c>
      <c r="J26" s="10">
        <f t="shared" si="1"/>
        <v>219.19887359999996</v>
      </c>
      <c r="K26" s="10">
        <f t="shared" si="2"/>
        <v>219.19887359999996</v>
      </c>
      <c r="M26" s="4">
        <v>13</v>
      </c>
      <c r="N26" s="4">
        <v>46</v>
      </c>
      <c r="O26" s="5" t="str">
        <v>GA==</v>
      </c>
    </row>
    <row r="27" spans="1:15" x14ac:dyDescent="0.25">
      <c r="A27" s="3" t="s">
        <v>30</v>
      </c>
      <c r="B27" s="18">
        <v>2.3199999999999998</v>
      </c>
      <c r="C27" s="18" t="e">
        <v>#N/A</v>
      </c>
      <c r="D27" s="18" t="e">
        <v>#N/A</v>
      </c>
      <c r="E27" s="18" t="e">
        <v>#N/A</v>
      </c>
      <c r="F27" s="18" t="e">
        <v>#N/A</v>
      </c>
      <c r="G27" s="18" t="e">
        <v>#N/A</v>
      </c>
      <c r="I27" s="10">
        <f t="shared" si="0"/>
        <v>298.85392087039997</v>
      </c>
      <c r="J27" s="10">
        <f t="shared" si="1"/>
        <v>211.33455359999999</v>
      </c>
      <c r="K27" s="10">
        <f t="shared" si="2"/>
        <v>211.33455359999999</v>
      </c>
      <c r="M27" s="4">
        <v>13</v>
      </c>
      <c r="N27" s="4">
        <v>0</v>
      </c>
      <c r="O27" s="5" t="str">
        <v>GQ==</v>
      </c>
    </row>
    <row r="28" spans="1:15" x14ac:dyDescent="0.25">
      <c r="A28" s="3" t="s">
        <v>20</v>
      </c>
      <c r="B28" s="18">
        <v>0.48</v>
      </c>
      <c r="C28" s="18" t="e">
        <v>#N/A</v>
      </c>
      <c r="D28" s="18" t="e">
        <v>#N/A</v>
      </c>
      <c r="E28" s="18" t="e">
        <v>#N/A</v>
      </c>
      <c r="F28" s="18" t="e">
        <v>#N/A</v>
      </c>
      <c r="G28" s="18" t="e">
        <v>#N/A</v>
      </c>
      <c r="I28" s="10">
        <f t="shared" si="0"/>
        <v>5.3472388096000003</v>
      </c>
      <c r="J28" s="10">
        <f t="shared" si="1"/>
        <v>26.8517376</v>
      </c>
      <c r="K28" s="10">
        <f t="shared" si="2"/>
        <v>26.8517376</v>
      </c>
      <c r="M28" s="4">
        <v>13</v>
      </c>
      <c r="N28" s="4">
        <v>22</v>
      </c>
      <c r="O28" s="5" t="str">
        <v>HQ==</v>
      </c>
    </row>
    <row r="29" spans="1:15" x14ac:dyDescent="0.25">
      <c r="A29" s="3" t="s">
        <v>10</v>
      </c>
      <c r="B29" s="18">
        <v>1.92</v>
      </c>
      <c r="C29" s="18" t="e">
        <v>#N/A</v>
      </c>
      <c r="D29" s="18" t="e">
        <v>#N/A</v>
      </c>
      <c r="E29" s="18" t="e">
        <v>#N/A</v>
      </c>
      <c r="F29" s="18" t="e">
        <v>#N/A</v>
      </c>
      <c r="G29" s="18" t="e">
        <v>#N/A</v>
      </c>
      <c r="I29" s="10">
        <f t="shared" si="0"/>
        <v>205.83974103040001</v>
      </c>
      <c r="J29" s="10">
        <f t="shared" si="1"/>
        <v>238.52482560000001</v>
      </c>
      <c r="K29" s="10">
        <f t="shared" si="2"/>
        <v>238.52482560000001</v>
      </c>
      <c r="M29" s="4">
        <v>13</v>
      </c>
      <c r="N29" s="4">
        <v>10</v>
      </c>
      <c r="O29" s="5" t="str">
        <v>OA==</v>
      </c>
    </row>
    <row r="30" spans="1:15" x14ac:dyDescent="0.25">
      <c r="A30" s="3" t="s">
        <v>24</v>
      </c>
      <c r="B30" s="18">
        <v>0.24</v>
      </c>
      <c r="C30" s="18" t="e">
        <v>#N/A</v>
      </c>
      <c r="D30" s="18" t="e">
        <v>#N/A</v>
      </c>
      <c r="E30" s="18" t="e">
        <v>#N/A</v>
      </c>
      <c r="F30" s="18" t="e">
        <v>#N/A</v>
      </c>
      <c r="G30" s="18" t="e">
        <v>#N/A</v>
      </c>
      <c r="I30" s="10">
        <f t="shared" si="0"/>
        <v>1.5505712128000002</v>
      </c>
      <c r="J30" s="10">
        <f t="shared" si="1"/>
        <v>6.8622335999999997</v>
      </c>
      <c r="K30" s="10">
        <f t="shared" si="2"/>
        <v>6.8622335999999997</v>
      </c>
      <c r="M30" s="4">
        <v>13</v>
      </c>
      <c r="N30" s="4">
        <v>52</v>
      </c>
      <c r="O30" s="5" t="str">
        <v>GA==</v>
      </c>
    </row>
    <row r="31" spans="1:15" x14ac:dyDescent="0.25">
      <c r="A31" s="3" t="s">
        <v>28</v>
      </c>
      <c r="B31" s="18">
        <v>1.76</v>
      </c>
      <c r="C31" s="18" t="e">
        <v>#N/A</v>
      </c>
      <c r="D31" s="18" t="e">
        <v>#N/A</v>
      </c>
      <c r="E31" s="18" t="e">
        <v>#N/A</v>
      </c>
      <c r="F31" s="18" t="e">
        <v>#N/A</v>
      </c>
      <c r="G31" s="18" t="e">
        <v>#N/A</v>
      </c>
      <c r="I31" s="10">
        <f t="shared" si="0"/>
        <v>168.40877598719999</v>
      </c>
      <c r="J31" s="10">
        <f t="shared" si="1"/>
        <v>227.78511359999999</v>
      </c>
      <c r="K31" s="10">
        <f t="shared" si="2"/>
        <v>227.78511359999999</v>
      </c>
      <c r="M31" s="4">
        <v>13</v>
      </c>
      <c r="N31" s="4">
        <v>54</v>
      </c>
      <c r="O31" s="5" t="str">
        <v>GA==</v>
      </c>
    </row>
    <row r="32" spans="1:15" x14ac:dyDescent="0.25">
      <c r="A32" s="3" t="s">
        <v>7</v>
      </c>
      <c r="B32" s="18">
        <v>2</v>
      </c>
      <c r="C32" s="18" t="e">
        <v>#N/A</v>
      </c>
      <c r="D32" s="18" t="e">
        <v>#N/A</v>
      </c>
      <c r="E32" s="18" t="e">
        <v>#N/A</v>
      </c>
      <c r="F32" s="18" t="e">
        <v>#N/A</v>
      </c>
      <c r="G32" s="18" t="e">
        <v>#N/A</v>
      </c>
      <c r="I32" s="10">
        <f t="shared" si="0"/>
        <v>225</v>
      </c>
      <c r="J32" s="10">
        <f t="shared" si="1"/>
        <v>240</v>
      </c>
      <c r="K32" s="10">
        <f t="shared" si="2"/>
        <v>240</v>
      </c>
      <c r="M32" s="4">
        <v>10</v>
      </c>
      <c r="N32" s="4">
        <v>7</v>
      </c>
      <c r="O32" s="5" t="str">
        <v>FA==</v>
      </c>
    </row>
    <row r="33" spans="1:15" x14ac:dyDescent="0.25">
      <c r="A33" s="3" t="s">
        <v>14</v>
      </c>
      <c r="B33" s="18">
        <v>1.36</v>
      </c>
      <c r="C33" s="18" t="e">
        <v>#N/A</v>
      </c>
      <c r="D33" s="18" t="e">
        <v>#N/A</v>
      </c>
      <c r="E33" s="18" t="e">
        <v>#N/A</v>
      </c>
      <c r="F33" s="18" t="e">
        <v>#N/A</v>
      </c>
      <c r="G33" s="18" t="e">
        <v>#N/A</v>
      </c>
      <c r="I33" s="10">
        <f t="shared" si="0"/>
        <v>87.660477747200019</v>
      </c>
      <c r="J33" s="10">
        <f t="shared" si="1"/>
        <v>170.63669760000005</v>
      </c>
      <c r="K33" s="10">
        <f t="shared" si="2"/>
        <v>170.63669760000005</v>
      </c>
      <c r="M33" s="4">
        <v>17</v>
      </c>
      <c r="N33" s="4">
        <v>52</v>
      </c>
      <c r="O33" s="5" t="str">
        <v>HA==</v>
      </c>
    </row>
    <row r="34" spans="1:15" x14ac:dyDescent="0.25">
      <c r="A34" s="3" t="s">
        <v>10</v>
      </c>
      <c r="B34" s="18">
        <v>1.92</v>
      </c>
      <c r="C34" s="18" t="e">
        <v>#N/A</v>
      </c>
      <c r="D34" s="18" t="e">
        <v>#N/A</v>
      </c>
      <c r="E34" s="18" t="e">
        <v>#N/A</v>
      </c>
      <c r="F34" s="18" t="e">
        <v>#N/A</v>
      </c>
      <c r="G34" s="18" t="e">
        <v>#N/A</v>
      </c>
      <c r="I34" s="10">
        <f t="shared" si="0"/>
        <v>205.83974103040001</v>
      </c>
      <c r="J34" s="10">
        <f t="shared" si="1"/>
        <v>238.52482560000001</v>
      </c>
      <c r="K34" s="10">
        <f t="shared" si="2"/>
        <v>238.52482560000001</v>
      </c>
      <c r="M34" s="4">
        <v>7</v>
      </c>
      <c r="N34" s="4">
        <v>26</v>
      </c>
      <c r="O34" s="5" t="str">
        <v>Bg==</v>
      </c>
    </row>
    <row r="35" spans="1:15" x14ac:dyDescent="0.25">
      <c r="A35" s="3" t="s">
        <v>10</v>
      </c>
      <c r="B35" s="18">
        <v>1.92</v>
      </c>
      <c r="C35" s="18" t="e">
        <v>#N/A</v>
      </c>
      <c r="D35" s="18" t="e">
        <v>#N/A</v>
      </c>
      <c r="E35" s="18" t="e">
        <v>#N/A</v>
      </c>
      <c r="F35" s="18" t="e">
        <v>#N/A</v>
      </c>
      <c r="G35" s="18" t="e">
        <v>#N/A</v>
      </c>
      <c r="I35" s="10">
        <f t="shared" si="0"/>
        <v>205.83974103040001</v>
      </c>
      <c r="J35" s="10">
        <f t="shared" si="1"/>
        <v>238.52482560000001</v>
      </c>
      <c r="K35" s="10">
        <f t="shared" si="2"/>
        <v>238.52482560000001</v>
      </c>
      <c r="M35" s="4">
        <v>14</v>
      </c>
      <c r="N35" s="4">
        <v>14</v>
      </c>
      <c r="O35" s="5" t="str">
        <v>Hg==</v>
      </c>
    </row>
    <row r="36" spans="1:15" x14ac:dyDescent="0.25">
      <c r="A36" s="3" t="s">
        <v>26</v>
      </c>
      <c r="B36" s="18">
        <v>1.1200000000000001</v>
      </c>
      <c r="C36" s="18" t="e">
        <v>#N/A</v>
      </c>
      <c r="D36" s="18" t="e">
        <v>#N/A</v>
      </c>
      <c r="E36" s="18" t="e">
        <v>#N/A</v>
      </c>
      <c r="F36" s="18" t="e">
        <v>#N/A</v>
      </c>
      <c r="G36" s="18" t="e">
        <v>#N/A</v>
      </c>
      <c r="I36" s="10">
        <f t="shared" si="0"/>
        <v>51.910094950400008</v>
      </c>
      <c r="J36" s="10">
        <f t="shared" si="1"/>
        <v>126.92520960000002</v>
      </c>
      <c r="K36" s="10">
        <f t="shared" si="2"/>
        <v>126.92520960000002</v>
      </c>
      <c r="M36" s="4">
        <v>10</v>
      </c>
      <c r="N36" s="4">
        <v>52</v>
      </c>
      <c r="O36" s="5" t="str">
        <v>Gg==</v>
      </c>
    </row>
    <row r="37" spans="1:15" x14ac:dyDescent="0.25">
      <c r="A37" s="3" t="s">
        <v>28</v>
      </c>
      <c r="B37" s="18">
        <v>1.76</v>
      </c>
      <c r="C37" s="18" t="e">
        <v>#N/A</v>
      </c>
      <c r="D37" s="18" t="e">
        <v>#N/A</v>
      </c>
      <c r="E37" s="18" t="e">
        <v>#N/A</v>
      </c>
      <c r="F37" s="18" t="e">
        <v>#N/A</v>
      </c>
      <c r="G37" s="18" t="e">
        <v>#N/A</v>
      </c>
      <c r="I37" s="10">
        <f t="shared" si="0"/>
        <v>168.40877598719999</v>
      </c>
      <c r="J37" s="10">
        <f t="shared" si="1"/>
        <v>227.78511359999999</v>
      </c>
      <c r="K37" s="10">
        <f t="shared" si="2"/>
        <v>227.78511359999999</v>
      </c>
      <c r="M37" s="4">
        <v>52</v>
      </c>
      <c r="N37" s="4">
        <v>54</v>
      </c>
      <c r="O37" s="5" t="str">
        <v>AA==</v>
      </c>
    </row>
    <row r="38" spans="1:15" x14ac:dyDescent="0.25">
      <c r="A38" s="3" t="s">
        <v>33</v>
      </c>
      <c r="B38" s="18">
        <v>4.8</v>
      </c>
      <c r="C38" s="18" t="e">
        <v>#N/A</v>
      </c>
      <c r="D38" s="18" t="e">
        <v>#N/A</v>
      </c>
      <c r="E38" s="18" t="e">
        <v>#N/A</v>
      </c>
      <c r="F38" s="18" t="e">
        <v>#N/A</v>
      </c>
      <c r="G38" s="18" t="e">
        <v>#N/A</v>
      </c>
      <c r="I38" s="10">
        <f t="shared" si="0"/>
        <v>-3219.4390399999993</v>
      </c>
      <c r="J38" s="10">
        <f t="shared" si="1"/>
        <v>-5197.8240000000005</v>
      </c>
      <c r="K38" s="10">
        <f t="shared" si="2"/>
        <v>0</v>
      </c>
      <c r="M38" s="4">
        <v>10</v>
      </c>
      <c r="N38" s="4">
        <v>26</v>
      </c>
      <c r="O38" s="5" t="str">
        <v>Gg==</v>
      </c>
    </row>
    <row r="39" spans="1:15" x14ac:dyDescent="0.25">
      <c r="A39" s="3" t="s">
        <v>32</v>
      </c>
      <c r="B39" s="18">
        <v>0.64</v>
      </c>
      <c r="C39" s="18" t="e">
        <v>#N/A</v>
      </c>
      <c r="D39" s="18" t="e">
        <v>#N/A</v>
      </c>
      <c r="E39" s="18" t="e">
        <v>#N/A</v>
      </c>
      <c r="F39" s="18" t="e">
        <v>#N/A</v>
      </c>
      <c r="G39" s="18" t="e">
        <v>#N/A</v>
      </c>
      <c r="I39" s="10">
        <f t="shared" si="0"/>
        <v>11.163637452800003</v>
      </c>
      <c r="J39" s="10">
        <f t="shared" si="1"/>
        <v>46.635417600000004</v>
      </c>
      <c r="K39" s="10">
        <f t="shared" si="2"/>
        <v>46.635417600000004</v>
      </c>
      <c r="M39" s="4">
        <v>22</v>
      </c>
      <c r="N39" s="4">
        <v>14</v>
      </c>
      <c r="O39" s="5" t="str">
        <v>HQ==</v>
      </c>
    </row>
    <row r="40" spans="1:15" x14ac:dyDescent="0.25">
      <c r="A40" s="3" t="s">
        <v>27</v>
      </c>
      <c r="B40" s="18">
        <v>2.4</v>
      </c>
      <c r="C40" s="18" t="e">
        <v>#N/A</v>
      </c>
      <c r="D40" s="18" t="e">
        <v>#N/A</v>
      </c>
      <c r="E40" s="18" t="e">
        <v>#N/A</v>
      </c>
      <c r="F40" s="18" t="e">
        <v>#N/A</v>
      </c>
      <c r="G40" s="18" t="e">
        <v>#N/A</v>
      </c>
      <c r="I40" s="10">
        <f t="shared" si="0"/>
        <v>315.08128000000005</v>
      </c>
      <c r="J40" s="10">
        <f t="shared" si="1"/>
        <v>193.53599999999994</v>
      </c>
      <c r="K40" s="10">
        <f t="shared" si="2"/>
        <v>193.53599999999994</v>
      </c>
      <c r="M40" s="4">
        <v>22</v>
      </c>
      <c r="N40" s="4">
        <v>54</v>
      </c>
      <c r="O40" s="5" t="str">
        <v>HQ==</v>
      </c>
    </row>
    <row r="41" spans="1:15" x14ac:dyDescent="0.25">
      <c r="A41" s="3" t="s">
        <v>22</v>
      </c>
      <c r="B41" s="18">
        <v>6.88</v>
      </c>
      <c r="C41" s="18" t="e">
        <v>#N/A</v>
      </c>
      <c r="D41" s="18" t="e">
        <v>#N/A</v>
      </c>
      <c r="E41" s="18" t="e">
        <v>#N/A</v>
      </c>
      <c r="F41" s="18" t="e">
        <v>#N/A</v>
      </c>
      <c r="G41" s="18" t="e">
        <v>#N/A</v>
      </c>
      <c r="I41" s="10">
        <f t="shared" si="0"/>
        <v>-33217.430658150392</v>
      </c>
      <c r="J41" s="10">
        <f t="shared" si="1"/>
        <v>-27928.053350399987</v>
      </c>
      <c r="K41" s="10">
        <f t="shared" si="2"/>
        <v>0</v>
      </c>
      <c r="M41" s="4">
        <v>17</v>
      </c>
      <c r="N41" s="4">
        <v>22</v>
      </c>
      <c r="O41" s="5" t="str">
        <v>HA==</v>
      </c>
    </row>
    <row r="42" spans="1:15" x14ac:dyDescent="0.25">
      <c r="A42" s="3" t="s">
        <v>8</v>
      </c>
      <c r="B42" s="18">
        <v>0</v>
      </c>
      <c r="C42" s="18" t="e">
        <v>#N/A</v>
      </c>
      <c r="D42" s="18" t="e">
        <v>#N/A</v>
      </c>
      <c r="E42" s="18" t="e">
        <v>#N/A</v>
      </c>
      <c r="F42" s="18" t="e">
        <v>#N/A</v>
      </c>
      <c r="G42" s="18" t="e">
        <v>#N/A</v>
      </c>
      <c r="I42" s="10">
        <f t="shared" si="0"/>
        <v>1</v>
      </c>
      <c r="J42" s="10">
        <f t="shared" si="1"/>
        <v>0</v>
      </c>
      <c r="K42" s="10">
        <f t="shared" si="2"/>
        <v>0</v>
      </c>
      <c r="M42" s="4">
        <v>7</v>
      </c>
      <c r="N42" s="4">
        <v>43</v>
      </c>
      <c r="O42" s="5" t="str">
        <v>Eg==</v>
      </c>
    </row>
    <row r="43" spans="1:15" x14ac:dyDescent="0.25">
      <c r="A43" s="3" t="s">
        <v>15</v>
      </c>
      <c r="B43" s="18">
        <v>0.16</v>
      </c>
      <c r="C43" s="18" t="e">
        <v>#N/A</v>
      </c>
      <c r="D43" s="18" t="e">
        <v>#N/A</v>
      </c>
      <c r="E43" s="18" t="e">
        <v>#N/A</v>
      </c>
      <c r="F43" s="18" t="e">
        <v>#N/A</v>
      </c>
      <c r="G43" s="18" t="e">
        <v>#N/A</v>
      </c>
      <c r="I43" s="10">
        <f t="shared" si="0"/>
        <v>1.1635254272</v>
      </c>
      <c r="J43" s="10">
        <f t="shared" si="1"/>
        <v>3.0621696000000003</v>
      </c>
      <c r="K43" s="10">
        <f t="shared" si="2"/>
        <v>3.0621696000000003</v>
      </c>
      <c r="M43" s="4">
        <v>46</v>
      </c>
      <c r="N43" s="4">
        <v>19</v>
      </c>
      <c r="O43" s="5" t="str">
        <v>Cw==</v>
      </c>
    </row>
    <row r="44" spans="1:15" x14ac:dyDescent="0.25">
      <c r="A44" s="3" t="s">
        <v>7</v>
      </c>
      <c r="B44" s="18">
        <v>2</v>
      </c>
      <c r="C44" s="18" t="e">
        <v>#N/A</v>
      </c>
      <c r="D44" s="18" t="e">
        <v>#N/A</v>
      </c>
      <c r="E44" s="18" t="e">
        <v>#N/A</v>
      </c>
      <c r="F44" s="18" t="e">
        <v>#N/A</v>
      </c>
      <c r="G44" s="18" t="e">
        <v>#N/A</v>
      </c>
      <c r="I44" s="10">
        <f t="shared" si="0"/>
        <v>225</v>
      </c>
      <c r="J44" s="10">
        <f t="shared" si="1"/>
        <v>240</v>
      </c>
      <c r="K44" s="10">
        <f t="shared" si="2"/>
        <v>240</v>
      </c>
      <c r="M44" s="4">
        <v>14</v>
      </c>
      <c r="N44" s="4">
        <v>7</v>
      </c>
      <c r="O44" s="5" t="str">
        <v>FQ==</v>
      </c>
    </row>
    <row r="45" spans="1:15" x14ac:dyDescent="0.25">
      <c r="A45" s="3" t="s">
        <v>29</v>
      </c>
      <c r="B45" s="18">
        <v>2.2400000000000002</v>
      </c>
      <c r="C45" s="18" t="e">
        <v>#N/A</v>
      </c>
      <c r="D45" s="18" t="e">
        <v>#N/A</v>
      </c>
      <c r="E45" s="18" t="e">
        <v>#N/A</v>
      </c>
      <c r="F45" s="18" t="e">
        <v>#N/A</v>
      </c>
      <c r="G45" s="18" t="e">
        <v>#N/A</v>
      </c>
      <c r="I45" s="10">
        <f t="shared" si="0"/>
        <v>281.39215841280009</v>
      </c>
      <c r="J45" s="10">
        <f t="shared" si="1"/>
        <v>224.46735359999997</v>
      </c>
      <c r="K45" s="10">
        <f t="shared" si="2"/>
        <v>224.46735359999997</v>
      </c>
      <c r="M45" s="4">
        <v>28</v>
      </c>
      <c r="N45" s="4">
        <v>52</v>
      </c>
      <c r="O45" s="5" t="str">
        <v>Ew==</v>
      </c>
    </row>
    <row r="46" spans="1:15" x14ac:dyDescent="0.25">
      <c r="A46" s="3" t="s">
        <v>18</v>
      </c>
      <c r="B46" s="18">
        <v>2.08</v>
      </c>
      <c r="C46" s="18" t="e">
        <v>#N/A</v>
      </c>
      <c r="D46" s="18" t="e">
        <v>#N/A</v>
      </c>
      <c r="E46" s="18" t="e">
        <v>#N/A</v>
      </c>
      <c r="F46" s="18" t="e">
        <v>#N/A</v>
      </c>
      <c r="G46" s="18" t="e">
        <v>#N/A</v>
      </c>
      <c r="I46" s="10">
        <f t="shared" si="0"/>
        <v>244.15780136960001</v>
      </c>
      <c r="J46" s="10">
        <f t="shared" si="1"/>
        <v>238.40194559999998</v>
      </c>
      <c r="K46" s="10">
        <f t="shared" si="2"/>
        <v>238.40194559999998</v>
      </c>
      <c r="M46" s="4">
        <v>7</v>
      </c>
      <c r="N46" s="4">
        <v>76</v>
      </c>
      <c r="O46" s="5" t="str">
        <v>DQ==</v>
      </c>
    </row>
    <row r="47" spans="1:15" x14ac:dyDescent="0.25">
      <c r="A47" s="3" t="s">
        <v>15</v>
      </c>
      <c r="B47" s="18">
        <v>0.16</v>
      </c>
      <c r="C47" s="18" t="e">
        <v>#N/A</v>
      </c>
      <c r="D47" s="18" t="e">
        <v>#N/A</v>
      </c>
      <c r="E47" s="18" t="e">
        <v>#N/A</v>
      </c>
      <c r="F47" s="18" t="e">
        <v>#N/A</v>
      </c>
      <c r="G47" s="18" t="e">
        <v>#N/A</v>
      </c>
      <c r="I47" s="10">
        <f t="shared" si="0"/>
        <v>1.1635254272</v>
      </c>
      <c r="J47" s="10">
        <f t="shared" si="1"/>
        <v>3.0621696000000003</v>
      </c>
      <c r="K47" s="10">
        <f t="shared" si="2"/>
        <v>3.0621696000000003</v>
      </c>
      <c r="M47" s="4">
        <v>14</v>
      </c>
      <c r="N47" s="4">
        <v>13</v>
      </c>
      <c r="O47" s="5" t="str">
        <v>Hg==</v>
      </c>
    </row>
    <row r="48" spans="1:15" x14ac:dyDescent="0.25">
      <c r="A48" s="3" t="s">
        <v>11</v>
      </c>
      <c r="B48" s="18">
        <v>1.44</v>
      </c>
      <c r="C48" s="18" t="e">
        <v>#N/A</v>
      </c>
      <c r="D48" s="18" t="e">
        <v>#N/A</v>
      </c>
      <c r="E48" s="18" t="e">
        <v>#N/A</v>
      </c>
      <c r="F48" s="18" t="e">
        <v>#N/A</v>
      </c>
      <c r="G48" s="18" t="e">
        <v>#N/A</v>
      </c>
      <c r="I48" s="10">
        <f t="shared" si="0"/>
        <v>101.8641507328</v>
      </c>
      <c r="J48" s="10">
        <f t="shared" si="1"/>
        <v>184.33474560000002</v>
      </c>
      <c r="K48" s="10">
        <f t="shared" si="2"/>
        <v>184.33474560000002</v>
      </c>
      <c r="M48" s="4">
        <v>10</v>
      </c>
      <c r="N48" s="4">
        <v>13</v>
      </c>
      <c r="O48" s="5" t="str">
        <v>mA==</v>
      </c>
    </row>
    <row r="49" spans="1:15" x14ac:dyDescent="0.25">
      <c r="A49" s="3" t="s">
        <v>28</v>
      </c>
      <c r="B49" s="18">
        <v>1.76</v>
      </c>
      <c r="C49" s="18" t="e">
        <v>#N/A</v>
      </c>
      <c r="D49" s="18" t="e">
        <v>#N/A</v>
      </c>
      <c r="E49" s="18" t="e">
        <v>#N/A</v>
      </c>
      <c r="F49" s="18" t="e">
        <v>#N/A</v>
      </c>
      <c r="G49" s="18" t="e">
        <v>#N/A</v>
      </c>
      <c r="I49" s="10">
        <f t="shared" si="0"/>
        <v>168.40877598719999</v>
      </c>
      <c r="J49" s="10">
        <f t="shared" si="1"/>
        <v>227.78511359999999</v>
      </c>
      <c r="K49" s="10">
        <f t="shared" si="2"/>
        <v>227.78511359999999</v>
      </c>
      <c r="M49" s="4">
        <v>26</v>
      </c>
      <c r="N49" s="4">
        <v>10</v>
      </c>
      <c r="O49" s="5" t="str">
        <v>Fg==</v>
      </c>
    </row>
    <row r="50" spans="1:15" x14ac:dyDescent="0.25">
      <c r="A50" s="3" t="s">
        <v>19</v>
      </c>
      <c r="B50" s="18">
        <v>0.4</v>
      </c>
      <c r="C50" s="18" t="e">
        <v>#N/A</v>
      </c>
      <c r="D50" s="18" t="e">
        <v>#N/A</v>
      </c>
      <c r="E50" s="18" t="e">
        <v>#N/A</v>
      </c>
      <c r="F50" s="18" t="e">
        <v>#N/A</v>
      </c>
      <c r="G50" s="18" t="e">
        <v>#N/A</v>
      </c>
      <c r="I50" s="10">
        <f t="shared" si="0"/>
        <v>3.5292800000000004</v>
      </c>
      <c r="J50" s="10">
        <f t="shared" si="1"/>
        <v>18.816000000000003</v>
      </c>
      <c r="K50" s="10">
        <f t="shared" si="2"/>
        <v>18.816000000000003</v>
      </c>
      <c r="M50" s="4">
        <v>10</v>
      </c>
      <c r="N50" s="4">
        <v>43</v>
      </c>
      <c r="O50" s="5" t="str">
        <v>Fg==</v>
      </c>
    </row>
    <row r="51" spans="1:15" x14ac:dyDescent="0.25">
      <c r="A51" s="3" t="s">
        <v>13</v>
      </c>
      <c r="B51" s="18">
        <v>1.6</v>
      </c>
      <c r="C51" s="18" t="e">
        <v>#N/A</v>
      </c>
      <c r="D51" s="18" t="e">
        <v>#N/A</v>
      </c>
      <c r="E51" s="18" t="e">
        <v>#N/A</v>
      </c>
      <c r="F51" s="18" t="e">
        <v>#N/A</v>
      </c>
      <c r="G51" s="18" t="e">
        <v>#N/A</v>
      </c>
      <c r="I51" s="10">
        <f t="shared" si="0"/>
        <v>133.38272000000001</v>
      </c>
      <c r="J51" s="10">
        <f t="shared" si="1"/>
        <v>208.89600000000002</v>
      </c>
      <c r="K51" s="10">
        <f t="shared" si="2"/>
        <v>208.89600000000002</v>
      </c>
      <c r="M51" s="4">
        <v>0</v>
      </c>
      <c r="N51" s="4">
        <v>7</v>
      </c>
      <c r="O51" s="5" t="str">
        <v>BQ==</v>
      </c>
    </row>
    <row r="52" spans="1:15" x14ac:dyDescent="0.25">
      <c r="A52" s="3" t="s">
        <v>12</v>
      </c>
      <c r="B52" s="18">
        <v>11.52</v>
      </c>
      <c r="C52" s="18" t="e">
        <v>#N/A</v>
      </c>
      <c r="D52" s="18" t="e">
        <v>#N/A</v>
      </c>
      <c r="E52" s="18" t="e">
        <v>#N/A</v>
      </c>
      <c r="F52" s="18" t="e">
        <v>#N/A</v>
      </c>
      <c r="G52" s="18" t="e">
        <v>#N/A</v>
      </c>
      <c r="I52" s="10">
        <f t="shared" si="0"/>
        <v>-547518.5049476095</v>
      </c>
      <c r="J52" s="10">
        <f t="shared" si="1"/>
        <v>-248255.50602239996</v>
      </c>
      <c r="K52" s="10">
        <f t="shared" si="2"/>
        <v>0</v>
      </c>
      <c r="M52" s="4">
        <v>54</v>
      </c>
      <c r="N52" s="4">
        <v>17</v>
      </c>
      <c r="O52" s="5" t="str">
        <v>DA==</v>
      </c>
    </row>
    <row r="53" spans="1:15" x14ac:dyDescent="0.25">
      <c r="A53" s="3" t="s">
        <v>8</v>
      </c>
      <c r="B53" s="18">
        <v>0</v>
      </c>
      <c r="C53" s="18" t="e">
        <v>#N/A</v>
      </c>
      <c r="D53" s="18" t="e">
        <v>#N/A</v>
      </c>
      <c r="E53" s="18" t="e">
        <v>#N/A</v>
      </c>
      <c r="F53" s="18" t="e">
        <v>#N/A</v>
      </c>
      <c r="G53" s="18" t="e">
        <v>#N/A</v>
      </c>
      <c r="I53" s="10">
        <f t="shared" si="0"/>
        <v>1</v>
      </c>
      <c r="J53" s="10">
        <f t="shared" si="1"/>
        <v>0</v>
      </c>
      <c r="K53" s="10">
        <f t="shared" si="2"/>
        <v>0</v>
      </c>
      <c r="M53" s="4">
        <v>54</v>
      </c>
      <c r="N53" s="4">
        <v>26</v>
      </c>
      <c r="O53" s="5" t="str">
        <v>Fg==</v>
      </c>
    </row>
    <row r="54" spans="1:15" x14ac:dyDescent="0.25">
      <c r="A54" s="3" t="s">
        <v>27</v>
      </c>
      <c r="B54" s="18">
        <v>2.4</v>
      </c>
      <c r="C54" s="18" t="e">
        <v>#N/A</v>
      </c>
      <c r="D54" s="18" t="e">
        <v>#N/A</v>
      </c>
      <c r="E54" s="18" t="e">
        <v>#N/A</v>
      </c>
      <c r="F54" s="18" t="e">
        <v>#N/A</v>
      </c>
      <c r="G54" s="18" t="e">
        <v>#N/A</v>
      </c>
      <c r="I54" s="10">
        <f t="shared" si="0"/>
        <v>315.08128000000005</v>
      </c>
      <c r="J54" s="10">
        <f t="shared" si="1"/>
        <v>193.53599999999994</v>
      </c>
      <c r="K54" s="10">
        <f t="shared" si="2"/>
        <v>193.53599999999994</v>
      </c>
      <c r="M54" s="4">
        <v>52</v>
      </c>
      <c r="N54" s="4">
        <v>0</v>
      </c>
      <c r="O54" s="5" t="str">
        <v>GQ==</v>
      </c>
    </row>
    <row r="55" spans="1:15" x14ac:dyDescent="0.25">
      <c r="A55" s="3" t="s">
        <v>30</v>
      </c>
      <c r="B55" s="18">
        <v>2.3199999999999998</v>
      </c>
      <c r="C55" s="18" t="e">
        <v>#N/A</v>
      </c>
      <c r="D55" s="18" t="e">
        <v>#N/A</v>
      </c>
      <c r="E55" s="18" t="e">
        <v>#N/A</v>
      </c>
      <c r="F55" s="18" t="e">
        <v>#N/A</v>
      </c>
      <c r="G55" s="18" t="e">
        <v>#N/A</v>
      </c>
      <c r="I55" s="10">
        <f t="shared" si="0"/>
        <v>298.85392087039997</v>
      </c>
      <c r="J55" s="10">
        <f t="shared" si="1"/>
        <v>211.33455359999999</v>
      </c>
      <c r="K55" s="10">
        <f t="shared" si="2"/>
        <v>211.33455359999999</v>
      </c>
      <c r="M55" s="4">
        <v>52</v>
      </c>
      <c r="N55" s="4">
        <v>76</v>
      </c>
      <c r="O55" s="5" t="str">
        <v>BQ==</v>
      </c>
    </row>
    <row r="56" spans="1:15" x14ac:dyDescent="0.25">
      <c r="A56" s="3" t="s">
        <v>14</v>
      </c>
      <c r="B56" s="18">
        <v>1.36</v>
      </c>
      <c r="C56" s="18" t="e">
        <v>#N/A</v>
      </c>
      <c r="D56" s="18" t="e">
        <v>#N/A</v>
      </c>
      <c r="E56" s="18" t="e">
        <v>#N/A</v>
      </c>
      <c r="F56" s="18" t="e">
        <v>#N/A</v>
      </c>
      <c r="G56" s="18" t="e">
        <v>#N/A</v>
      </c>
      <c r="I56" s="10">
        <f t="shared" si="0"/>
        <v>87.660477747200019</v>
      </c>
      <c r="J56" s="10">
        <f t="shared" si="1"/>
        <v>170.63669760000005</v>
      </c>
      <c r="K56" s="10">
        <f t="shared" si="2"/>
        <v>170.63669760000005</v>
      </c>
      <c r="M56" s="4">
        <v>76</v>
      </c>
      <c r="N56" s="4">
        <v>7</v>
      </c>
      <c r="O56" s="5" t="str">
        <v>FQ==</v>
      </c>
    </row>
    <row r="57" spans="1:15" x14ac:dyDescent="0.25">
      <c r="A57" s="3" t="s">
        <v>17</v>
      </c>
      <c r="B57" s="18">
        <v>2.16</v>
      </c>
      <c r="C57" s="18" t="e">
        <v>#N/A</v>
      </c>
      <c r="D57" s="18" t="e">
        <v>#N/A</v>
      </c>
      <c r="E57" s="18" t="e">
        <v>#N/A</v>
      </c>
      <c r="F57" s="18" t="e">
        <v>#N/A</v>
      </c>
      <c r="G57" s="18" t="e">
        <v>#N/A</v>
      </c>
      <c r="I57" s="10">
        <f t="shared" si="0"/>
        <v>263.0523446272</v>
      </c>
      <c r="J57" s="10">
        <f t="shared" si="1"/>
        <v>233.35464960000002</v>
      </c>
      <c r="K57" s="10">
        <f t="shared" si="2"/>
        <v>233.35464960000002</v>
      </c>
      <c r="M57" s="4">
        <v>28</v>
      </c>
      <c r="N57" s="4">
        <v>17</v>
      </c>
      <c r="O57" s="5" t="str">
        <v>EQ==</v>
      </c>
    </row>
    <row r="58" spans="1:15" x14ac:dyDescent="0.25">
      <c r="A58" s="3" t="s">
        <v>29</v>
      </c>
      <c r="B58" s="18">
        <v>2.2400000000000002</v>
      </c>
      <c r="C58" s="18" t="e">
        <v>#N/A</v>
      </c>
      <c r="D58" s="18" t="e">
        <v>#N/A</v>
      </c>
      <c r="E58" s="18" t="e">
        <v>#N/A</v>
      </c>
      <c r="F58" s="18" t="e">
        <v>#N/A</v>
      </c>
      <c r="G58" s="18" t="e">
        <v>#N/A</v>
      </c>
      <c r="I58" s="10">
        <f t="shared" si="0"/>
        <v>281.39215841280009</v>
      </c>
      <c r="J58" s="10">
        <f t="shared" si="1"/>
        <v>224.46735359999997</v>
      </c>
      <c r="K58" s="10">
        <f t="shared" si="2"/>
        <v>224.46735359999997</v>
      </c>
      <c r="M58" s="4">
        <v>19</v>
      </c>
      <c r="N58" s="4">
        <v>54</v>
      </c>
      <c r="O58" s="5" t="str">
        <v>Ew==</v>
      </c>
    </row>
    <row r="59" spans="1:15" x14ac:dyDescent="0.25">
      <c r="A59" s="3" t="s">
        <v>16</v>
      </c>
      <c r="B59" s="18">
        <v>1.84</v>
      </c>
      <c r="C59" s="18" t="e">
        <v>#N/A</v>
      </c>
      <c r="D59" s="18" t="e">
        <v>#N/A</v>
      </c>
      <c r="E59" s="18" t="e">
        <v>#N/A</v>
      </c>
      <c r="F59" s="18" t="e">
        <v>#N/A</v>
      </c>
      <c r="G59" s="18" t="e">
        <v>#N/A</v>
      </c>
      <c r="I59" s="10">
        <f t="shared" si="0"/>
        <v>186.90833377280001</v>
      </c>
      <c r="J59" s="10">
        <f t="shared" si="1"/>
        <v>234.33768960000003</v>
      </c>
      <c r="K59" s="10">
        <f t="shared" si="2"/>
        <v>234.33768960000003</v>
      </c>
      <c r="M59" s="4">
        <v>46</v>
      </c>
      <c r="N59" s="4">
        <v>19</v>
      </c>
      <c r="O59" s="5" t="str">
        <v>Aw==</v>
      </c>
    </row>
    <row r="60" spans="1:15" x14ac:dyDescent="0.25">
      <c r="A60" s="3" t="s">
        <v>14</v>
      </c>
      <c r="B60" s="18">
        <v>1.36</v>
      </c>
      <c r="C60" s="18" t="e">
        <v>#N/A</v>
      </c>
      <c r="D60" s="18" t="e">
        <v>#N/A</v>
      </c>
      <c r="E60" s="18" t="e">
        <v>#N/A</v>
      </c>
      <c r="F60" s="18" t="e">
        <v>#N/A</v>
      </c>
      <c r="G60" s="18" t="e">
        <v>#N/A</v>
      </c>
      <c r="I60" s="10">
        <f t="shared" si="0"/>
        <v>87.660477747200019</v>
      </c>
      <c r="J60" s="10">
        <f t="shared" si="1"/>
        <v>170.63669760000005</v>
      </c>
      <c r="K60" s="10">
        <f t="shared" si="2"/>
        <v>170.63669760000005</v>
      </c>
      <c r="M60" s="4">
        <v>13</v>
      </c>
      <c r="N60" s="4">
        <v>54</v>
      </c>
      <c r="O60" s="5" t="str">
        <v>GA==</v>
      </c>
    </row>
    <row r="61" spans="1:15" x14ac:dyDescent="0.25">
      <c r="A61" s="3" t="s">
        <v>29</v>
      </c>
      <c r="B61" s="18">
        <v>2.2400000000000002</v>
      </c>
      <c r="C61" s="18" t="e">
        <v>#N/A</v>
      </c>
      <c r="D61" s="18" t="e">
        <v>#N/A</v>
      </c>
      <c r="E61" s="18" t="e">
        <v>#N/A</v>
      </c>
      <c r="F61" s="18" t="e">
        <v>#N/A</v>
      </c>
      <c r="G61" s="18" t="e">
        <v>#N/A</v>
      </c>
      <c r="I61" s="10">
        <f t="shared" si="0"/>
        <v>281.39215841280009</v>
      </c>
      <c r="J61" s="10">
        <f t="shared" si="1"/>
        <v>224.46735359999997</v>
      </c>
      <c r="K61" s="10">
        <f t="shared" si="2"/>
        <v>224.46735359999997</v>
      </c>
      <c r="M61" s="4">
        <v>19</v>
      </c>
      <c r="N61" s="4">
        <v>0</v>
      </c>
      <c r="O61" s="5" t="str">
        <v>GQ==</v>
      </c>
    </row>
    <row r="62" spans="1:15" x14ac:dyDescent="0.25">
      <c r="A62" s="3" t="s">
        <v>10</v>
      </c>
      <c r="B62" s="18">
        <v>1.92</v>
      </c>
      <c r="C62" s="18" t="e">
        <v>#N/A</v>
      </c>
      <c r="D62" s="18" t="e">
        <v>#N/A</v>
      </c>
      <c r="E62" s="18" t="e">
        <v>#N/A</v>
      </c>
      <c r="F62" s="18" t="e">
        <v>#N/A</v>
      </c>
      <c r="G62" s="18" t="e">
        <v>#N/A</v>
      </c>
      <c r="I62" s="10">
        <f t="shared" si="0"/>
        <v>205.83974103040001</v>
      </c>
      <c r="J62" s="10">
        <f t="shared" si="1"/>
        <v>238.52482560000001</v>
      </c>
      <c r="K62" s="10">
        <f t="shared" si="2"/>
        <v>238.52482560000001</v>
      </c>
      <c r="M62" s="4">
        <v>54</v>
      </c>
      <c r="N62" s="4">
        <v>22</v>
      </c>
      <c r="O62" s="5" t="str">
        <v>Fw==</v>
      </c>
    </row>
    <row r="63" spans="1:15" x14ac:dyDescent="0.25">
      <c r="A63" s="3" t="s">
        <v>21</v>
      </c>
      <c r="B63" s="18">
        <v>0.32</v>
      </c>
      <c r="C63" s="18" t="e">
        <v>#N/A</v>
      </c>
      <c r="D63" s="18" t="e">
        <v>#N/A</v>
      </c>
      <c r="E63" s="18" t="e">
        <v>#N/A</v>
      </c>
      <c r="F63" s="18" t="e">
        <v>#N/A</v>
      </c>
      <c r="G63" s="18" t="e">
        <v>#N/A</v>
      </c>
      <c r="I63" s="10">
        <f t="shared" si="0"/>
        <v>2.3006536704000005</v>
      </c>
      <c r="J63" s="10">
        <f t="shared" si="1"/>
        <v>12.1307136</v>
      </c>
      <c r="K63" s="10">
        <f t="shared" si="2"/>
        <v>12.1307136</v>
      </c>
      <c r="M63" s="4">
        <v>10</v>
      </c>
      <c r="N63" s="4">
        <v>10</v>
      </c>
      <c r="O63" s="5" t="str">
        <v>Gg==</v>
      </c>
    </row>
    <row r="64" spans="1:15" x14ac:dyDescent="0.25">
      <c r="A64" s="3" t="s">
        <v>18</v>
      </c>
      <c r="B64" s="18">
        <v>2.08</v>
      </c>
      <c r="C64" s="18" t="e">
        <v>#N/A</v>
      </c>
      <c r="D64" s="18" t="e">
        <v>#N/A</v>
      </c>
      <c r="E64" s="18" t="e">
        <v>#N/A</v>
      </c>
      <c r="F64" s="18" t="e">
        <v>#N/A</v>
      </c>
      <c r="G64" s="18" t="e">
        <v>#N/A</v>
      </c>
      <c r="I64" s="10">
        <f t="shared" si="0"/>
        <v>244.15780136960001</v>
      </c>
      <c r="J64" s="10">
        <f t="shared" si="1"/>
        <v>238.40194559999998</v>
      </c>
      <c r="K64" s="10">
        <f t="shared" si="2"/>
        <v>238.40194559999998</v>
      </c>
      <c r="M64" s="4">
        <v>19</v>
      </c>
      <c r="N64" s="4">
        <v>26</v>
      </c>
      <c r="O64" s="5" t="str">
        <v>AA==</v>
      </c>
    </row>
    <row r="65" spans="1:15" x14ac:dyDescent="0.25">
      <c r="A65" s="3" t="s">
        <v>13</v>
      </c>
      <c r="B65" s="18">
        <v>1.6</v>
      </c>
      <c r="C65" s="18" t="e">
        <v>#N/A</v>
      </c>
      <c r="D65" s="18" t="e">
        <v>#N/A</v>
      </c>
      <c r="E65" s="18" t="e">
        <v>#N/A</v>
      </c>
      <c r="F65" s="18" t="e">
        <v>#N/A</v>
      </c>
      <c r="G65" s="18" t="e">
        <v>#N/A</v>
      </c>
      <c r="I65" s="10">
        <f t="shared" si="0"/>
        <v>133.38272000000001</v>
      </c>
      <c r="J65" s="10">
        <f t="shared" si="1"/>
        <v>208.89600000000002</v>
      </c>
      <c r="K65" s="10">
        <f t="shared" si="2"/>
        <v>208.89600000000002</v>
      </c>
      <c r="M65" s="4">
        <v>31</v>
      </c>
      <c r="N65" s="4">
        <v>52</v>
      </c>
      <c r="O65" s="5" t="str">
        <v>Gw==</v>
      </c>
    </row>
    <row r="66" spans="1:15" x14ac:dyDescent="0.25">
      <c r="A66" s="8" t="str">
        <f t="array" ref="A66:A87">_xll.gxRandom(_schema,22)</f>
        <v>qA==</v>
      </c>
      <c r="B66" s="18">
        <v>13.44</v>
      </c>
      <c r="C66" s="18" t="e">
        <v>#N/A</v>
      </c>
      <c r="D66" s="18" t="e">
        <v>#N/A</v>
      </c>
      <c r="E66" s="18" t="e">
        <v>#N/A</v>
      </c>
      <c r="F66" s="18" t="e">
        <v>#N/A</v>
      </c>
      <c r="G66" s="18" t="e">
        <v>#N/A</v>
      </c>
      <c r="I66" s="10">
        <f t="shared" si="0"/>
        <v>-1218471.3937820666</v>
      </c>
      <c r="J66" s="10">
        <f t="shared" si="1"/>
        <v>-467751.42973439989</v>
      </c>
      <c r="K66" s="10">
        <f t="shared" si="2"/>
        <v>0</v>
      </c>
    </row>
    <row r="67" spans="1:15" x14ac:dyDescent="0.25">
      <c r="A67" s="8" t="str">
        <v>Gg==</v>
      </c>
      <c r="B67" s="18">
        <v>2.08</v>
      </c>
      <c r="C67" s="18" t="e">
        <v>#N/A</v>
      </c>
      <c r="D67" s="18" t="e">
        <v>#N/A</v>
      </c>
      <c r="E67" s="18" t="e">
        <v>#N/A</v>
      </c>
      <c r="F67" s="18" t="e">
        <v>#N/A</v>
      </c>
      <c r="G67" s="18" t="e">
        <v>#N/A</v>
      </c>
      <c r="I67" s="10">
        <f t="shared" si="0"/>
        <v>244.15780136960001</v>
      </c>
      <c r="J67" s="10">
        <f t="shared" si="1"/>
        <v>238.40194559999998</v>
      </c>
      <c r="K67" s="10">
        <f t="shared" si="2"/>
        <v>238.40194559999998</v>
      </c>
    </row>
    <row r="68" spans="1:15" x14ac:dyDescent="0.25">
      <c r="A68" s="8" t="str">
        <v>PA==</v>
      </c>
      <c r="B68" s="18">
        <v>4.8</v>
      </c>
      <c r="C68" s="18" t="e">
        <v>#N/A</v>
      </c>
      <c r="D68" s="18" t="e">
        <v>#N/A</v>
      </c>
      <c r="E68" s="18" t="e">
        <v>#N/A</v>
      </c>
      <c r="F68" s="18" t="e">
        <v>#N/A</v>
      </c>
      <c r="G68" s="18" t="e">
        <v>#N/A</v>
      </c>
      <c r="I68" s="10">
        <f t="shared" si="0"/>
        <v>-3219.4390399999993</v>
      </c>
      <c r="J68" s="10">
        <f t="shared" si="1"/>
        <v>-5197.8240000000005</v>
      </c>
      <c r="K68" s="10">
        <f t="shared" si="2"/>
        <v>0</v>
      </c>
    </row>
    <row r="69" spans="1:15" x14ac:dyDescent="0.25">
      <c r="A69" s="8" t="str">
        <v>PQ==</v>
      </c>
      <c r="B69" s="18">
        <v>4.88</v>
      </c>
      <c r="C69" s="18" t="e">
        <v>#N/A</v>
      </c>
      <c r="D69" s="18" t="e">
        <v>#N/A</v>
      </c>
      <c r="E69" s="18" t="e">
        <v>#N/A</v>
      </c>
      <c r="F69" s="18" t="e">
        <v>#N/A</v>
      </c>
      <c r="G69" s="18" t="e">
        <v>#N/A</v>
      </c>
      <c r="I69" s="10">
        <f t="shared" si="0"/>
        <v>-3653.1485973503986</v>
      </c>
      <c r="J69" s="10">
        <f t="shared" si="1"/>
        <v>-5649.1567103999978</v>
      </c>
      <c r="K69" s="10">
        <f t="shared" si="2"/>
        <v>0</v>
      </c>
    </row>
    <row r="70" spans="1:15" x14ac:dyDescent="0.25">
      <c r="A70" s="8" t="str">
        <v>fQ==</v>
      </c>
      <c r="B70" s="18">
        <v>10</v>
      </c>
      <c r="C70" s="18" t="e">
        <v>#N/A</v>
      </c>
      <c r="D70" s="18" t="e">
        <v>#N/A</v>
      </c>
      <c r="E70" s="18" t="e">
        <v>#N/A</v>
      </c>
      <c r="F70" s="18" t="e">
        <v>#N/A</v>
      </c>
      <c r="G70" s="18" t="e">
        <v>#N/A</v>
      </c>
      <c r="I70" s="10">
        <f t="shared" ref="I70:I87" si="3">1+40*POWER(B70,3)-3*POWER(B70,5)</f>
        <v>-259999</v>
      </c>
      <c r="J70" s="10">
        <f t="shared" ref="J70:J87" si="4">40*3*POWER(B70,2)-3*5*POWER(B70,4)</f>
        <v>-138000</v>
      </c>
      <c r="K70" s="10">
        <f t="shared" ref="K70:K87" si="5">MAX(0,J70)</f>
        <v>0</v>
      </c>
    </row>
    <row r="71" spans="1:15" x14ac:dyDescent="0.25">
      <c r="A71" s="8" t="str">
        <v>/A==</v>
      </c>
      <c r="B71" s="18">
        <v>0.16</v>
      </c>
      <c r="C71" s="18" t="e">
        <v>#N/A</v>
      </c>
      <c r="D71" s="18" t="e">
        <v>#N/A</v>
      </c>
      <c r="E71" s="18" t="e">
        <v>#N/A</v>
      </c>
      <c r="F71" s="18" t="e">
        <v>#N/A</v>
      </c>
      <c r="G71" s="18" t="e">
        <v>#N/A</v>
      </c>
      <c r="I71" s="10">
        <f t="shared" si="3"/>
        <v>1.1635254272</v>
      </c>
      <c r="J71" s="10">
        <f t="shared" si="4"/>
        <v>3.0621696000000003</v>
      </c>
      <c r="K71" s="10">
        <f t="shared" si="5"/>
        <v>3.0621696000000003</v>
      </c>
    </row>
    <row r="72" spans="1:15" x14ac:dyDescent="0.25">
      <c r="A72" s="8" t="str">
        <v>0g==</v>
      </c>
      <c r="B72" s="18">
        <v>16.8</v>
      </c>
      <c r="C72" s="18" t="e">
        <v>#N/A</v>
      </c>
      <c r="D72" s="18" t="e">
        <v>#N/A</v>
      </c>
      <c r="E72" s="18" t="e">
        <v>#N/A</v>
      </c>
      <c r="F72" s="18" t="e">
        <v>#N/A</v>
      </c>
      <c r="G72" s="18" t="e">
        <v>#N/A</v>
      </c>
      <c r="I72" s="10">
        <f t="shared" si="3"/>
        <v>-3825168.3670399999</v>
      </c>
      <c r="J72" s="10">
        <f t="shared" si="4"/>
        <v>-1161022.4639999999</v>
      </c>
      <c r="K72" s="10">
        <f t="shared" si="5"/>
        <v>0</v>
      </c>
    </row>
    <row r="73" spans="1:15" x14ac:dyDescent="0.25">
      <c r="A73" s="8" t="str">
        <v>uQ==</v>
      </c>
      <c r="B73" s="18">
        <v>14.8</v>
      </c>
      <c r="C73" s="18" t="e">
        <v>#N/A</v>
      </c>
      <c r="D73" s="18" t="e">
        <v>#N/A</v>
      </c>
      <c r="E73" s="18" t="e">
        <v>#N/A</v>
      </c>
      <c r="F73" s="18" t="e">
        <v>#N/A</v>
      </c>
      <c r="G73" s="18" t="e">
        <v>#N/A</v>
      </c>
      <c r="I73" s="10">
        <f t="shared" si="3"/>
        <v>-2000573.6790400005</v>
      </c>
      <c r="J73" s="10">
        <f t="shared" si="4"/>
        <v>-693393.02400000009</v>
      </c>
      <c r="K73" s="10">
        <f t="shared" si="5"/>
        <v>0</v>
      </c>
    </row>
    <row r="74" spans="1:15" x14ac:dyDescent="0.25">
      <c r="A74" s="8" t="str">
        <v>ww==</v>
      </c>
      <c r="B74" s="18">
        <v>15.6</v>
      </c>
      <c r="C74" s="18" t="e">
        <v>#N/A</v>
      </c>
      <c r="D74" s="18" t="e">
        <v>#N/A</v>
      </c>
      <c r="E74" s="18" t="e">
        <v>#N/A</v>
      </c>
      <c r="F74" s="18" t="e">
        <v>#N/A</v>
      </c>
      <c r="G74" s="18" t="e">
        <v>#N/A</v>
      </c>
      <c r="I74" s="10">
        <f t="shared" si="3"/>
        <v>-2619829.7532799994</v>
      </c>
      <c r="J74" s="10">
        <f t="shared" si="4"/>
        <v>-859158.14399999997</v>
      </c>
      <c r="K74" s="10">
        <f t="shared" si="5"/>
        <v>0</v>
      </c>
    </row>
    <row r="75" spans="1:15" x14ac:dyDescent="0.25">
      <c r="A75" s="8" t="str">
        <v>Mw==</v>
      </c>
      <c r="B75" s="18">
        <v>4.08</v>
      </c>
      <c r="C75" s="18" t="e">
        <v>#N/A</v>
      </c>
      <c r="D75" s="18" t="e">
        <v>#N/A</v>
      </c>
      <c r="E75" s="18" t="e">
        <v>#N/A</v>
      </c>
      <c r="F75" s="18" t="e">
        <v>#N/A</v>
      </c>
      <c r="G75" s="18" t="e">
        <v>#N/A</v>
      </c>
      <c r="I75" s="10">
        <f t="shared" si="3"/>
        <v>-674.04374743040034</v>
      </c>
      <c r="J75" s="10">
        <f t="shared" si="4"/>
        <v>-2158.9714943999998</v>
      </c>
      <c r="K75" s="10">
        <f t="shared" si="5"/>
        <v>0</v>
      </c>
    </row>
    <row r="76" spans="1:15" x14ac:dyDescent="0.25">
      <c r="A76" s="8" t="str">
        <v>ZQ==</v>
      </c>
      <c r="B76" s="18">
        <v>8.08</v>
      </c>
      <c r="C76" s="18" t="e">
        <v>#N/A</v>
      </c>
      <c r="D76" s="18" t="e">
        <v>#N/A</v>
      </c>
      <c r="E76" s="18" t="e">
        <v>#N/A</v>
      </c>
      <c r="F76" s="18" t="e">
        <v>#N/A</v>
      </c>
      <c r="G76" s="18" t="e">
        <v>#N/A</v>
      </c>
      <c r="I76" s="10">
        <f t="shared" si="3"/>
        <v>-82216.927485030392</v>
      </c>
      <c r="J76" s="10">
        <f t="shared" si="4"/>
        <v>-56100.342374400003</v>
      </c>
      <c r="K76" s="10">
        <f t="shared" si="5"/>
        <v>0</v>
      </c>
    </row>
    <row r="77" spans="1:15" x14ac:dyDescent="0.25">
      <c r="A77" s="8" t="str">
        <v>rA==</v>
      </c>
      <c r="B77" s="18">
        <v>13.76</v>
      </c>
      <c r="C77" s="18" t="e">
        <v>#N/A</v>
      </c>
      <c r="D77" s="18" t="e">
        <v>#N/A</v>
      </c>
      <c r="E77" s="18" t="e">
        <v>#N/A</v>
      </c>
      <c r="F77" s="18" t="e">
        <v>#N/A</v>
      </c>
      <c r="G77" s="18" t="e">
        <v>#N/A</v>
      </c>
      <c r="I77" s="10">
        <f t="shared" si="3"/>
        <v>-1375623.0261808126</v>
      </c>
      <c r="J77" s="10">
        <f t="shared" si="4"/>
        <v>-515010.38960639981</v>
      </c>
      <c r="K77" s="10">
        <f t="shared" si="5"/>
        <v>0</v>
      </c>
    </row>
    <row r="78" spans="1:15" x14ac:dyDescent="0.25">
      <c r="A78" s="8" t="str">
        <v>Pg==</v>
      </c>
      <c r="B78" s="18">
        <v>4.96</v>
      </c>
      <c r="C78" s="18" t="e">
        <v>#N/A</v>
      </c>
      <c r="D78" s="18" t="e">
        <v>#N/A</v>
      </c>
      <c r="E78" s="18" t="e">
        <v>#N/A</v>
      </c>
      <c r="F78" s="18" t="e">
        <v>#N/A</v>
      </c>
      <c r="G78" s="18" t="e">
        <v>#N/A</v>
      </c>
      <c r="I78" s="10">
        <f t="shared" si="3"/>
        <v>-4123.9947516928005</v>
      </c>
      <c r="J78" s="10">
        <f t="shared" si="4"/>
        <v>-6126.3888384000011</v>
      </c>
      <c r="K78" s="10">
        <f t="shared" si="5"/>
        <v>0</v>
      </c>
    </row>
    <row r="79" spans="1:15" x14ac:dyDescent="0.25">
      <c r="A79" s="8" t="str">
        <v>0g==</v>
      </c>
      <c r="B79" s="18">
        <v>16.8</v>
      </c>
      <c r="C79" s="18" t="e">
        <v>#N/A</v>
      </c>
      <c r="D79" s="18" t="e">
        <v>#N/A</v>
      </c>
      <c r="E79" s="18" t="e">
        <v>#N/A</v>
      </c>
      <c r="F79" s="18" t="e">
        <v>#N/A</v>
      </c>
      <c r="G79" s="18" t="e">
        <v>#N/A</v>
      </c>
      <c r="I79" s="10">
        <f t="shared" si="3"/>
        <v>-3825168.3670399999</v>
      </c>
      <c r="J79" s="10">
        <f t="shared" si="4"/>
        <v>-1161022.4639999999</v>
      </c>
      <c r="K79" s="10">
        <f t="shared" si="5"/>
        <v>0</v>
      </c>
    </row>
    <row r="80" spans="1:15" x14ac:dyDescent="0.25">
      <c r="A80" s="8" t="str">
        <v>7g==</v>
      </c>
      <c r="B80" s="18">
        <v>19.04</v>
      </c>
      <c r="C80" s="18" t="e">
        <v>#N/A</v>
      </c>
      <c r="D80" s="18" t="e">
        <v>#N/A</v>
      </c>
      <c r="E80" s="18" t="e">
        <v>#N/A</v>
      </c>
      <c r="F80" s="18" t="e">
        <v>#N/A</v>
      </c>
      <c r="G80" s="18" t="e">
        <v>#N/A</v>
      </c>
      <c r="I80" s="10">
        <f t="shared" si="3"/>
        <v>-7230722.0752899069</v>
      </c>
      <c r="J80" s="10">
        <f t="shared" si="4"/>
        <v>-1927826.0649983999</v>
      </c>
      <c r="K80" s="10">
        <f t="shared" si="5"/>
        <v>0</v>
      </c>
    </row>
    <row r="81" spans="1:11" x14ac:dyDescent="0.25">
      <c r="A81" s="8" t="str">
        <v>DQ==</v>
      </c>
      <c r="B81" s="18">
        <v>1.04</v>
      </c>
      <c r="C81" s="18" t="e">
        <v>#N/A</v>
      </c>
      <c r="D81" s="18" t="e">
        <v>#N/A</v>
      </c>
      <c r="E81" s="18" t="e">
        <v>#N/A</v>
      </c>
      <c r="F81" s="18" t="e">
        <v>#N/A</v>
      </c>
      <c r="G81" s="18" t="e">
        <v>#N/A</v>
      </c>
      <c r="I81" s="10">
        <f t="shared" si="3"/>
        <v>42.344601292800007</v>
      </c>
      <c r="J81" s="10">
        <f t="shared" si="4"/>
        <v>112.2441216</v>
      </c>
      <c r="K81" s="10">
        <f t="shared" si="5"/>
        <v>112.2441216</v>
      </c>
    </row>
    <row r="82" spans="1:11" x14ac:dyDescent="0.25">
      <c r="A82" s="8" t="str">
        <v>dw==</v>
      </c>
      <c r="B82" s="18">
        <v>9.52</v>
      </c>
      <c r="C82" s="18" t="e">
        <v>#N/A</v>
      </c>
      <c r="D82" s="18" t="e">
        <v>#N/A</v>
      </c>
      <c r="E82" s="18" t="e">
        <v>#N/A</v>
      </c>
      <c r="F82" s="18" t="e">
        <v>#N/A</v>
      </c>
      <c r="G82" s="18" t="e">
        <v>#N/A</v>
      </c>
      <c r="I82" s="10">
        <f t="shared" si="3"/>
        <v>-200075.05386280958</v>
      </c>
      <c r="J82" s="10">
        <f t="shared" si="4"/>
        <v>-112332.39306239999</v>
      </c>
      <c r="K82" s="10">
        <f t="shared" si="5"/>
        <v>0</v>
      </c>
    </row>
    <row r="83" spans="1:11" x14ac:dyDescent="0.25">
      <c r="A83" s="8" t="str">
        <v>+Q==</v>
      </c>
      <c r="B83" s="18">
        <v>19.920000000000002</v>
      </c>
      <c r="C83" s="18" t="e">
        <v>#N/A</v>
      </c>
      <c r="D83" s="18" t="e">
        <v>#N/A</v>
      </c>
      <c r="E83" s="18" t="e">
        <v>#N/A</v>
      </c>
      <c r="F83" s="18" t="e">
        <v>#N/A</v>
      </c>
      <c r="G83" s="18" t="e">
        <v>#N/A</v>
      </c>
      <c r="I83" s="10">
        <f t="shared" si="3"/>
        <v>-9093353.5287581719</v>
      </c>
      <c r="J83" s="10">
        <f t="shared" si="4"/>
        <v>-2314213.0182144004</v>
      </c>
      <c r="K83" s="10">
        <f t="shared" si="5"/>
        <v>0</v>
      </c>
    </row>
    <row r="84" spans="1:11" x14ac:dyDescent="0.25">
      <c r="A84" s="8" t="str">
        <v>Jw==</v>
      </c>
      <c r="B84" s="18">
        <v>3.12</v>
      </c>
      <c r="C84" s="18" t="e">
        <v>#N/A</v>
      </c>
      <c r="D84" s="18" t="e">
        <v>#N/A</v>
      </c>
      <c r="E84" s="18" t="e">
        <v>#N/A</v>
      </c>
      <c r="F84" s="18" t="e">
        <v>#N/A</v>
      </c>
      <c r="G84" s="18" t="e">
        <v>#N/A</v>
      </c>
      <c r="I84" s="10">
        <f t="shared" si="3"/>
        <v>328.91315415039981</v>
      </c>
      <c r="J84" s="10">
        <f t="shared" si="4"/>
        <v>-253.25015040000017</v>
      </c>
      <c r="K84" s="10">
        <f t="shared" si="5"/>
        <v>0</v>
      </c>
    </row>
    <row r="85" spans="1:11" x14ac:dyDescent="0.25">
      <c r="A85" s="8" t="str">
        <v>5w==</v>
      </c>
      <c r="B85" s="18">
        <v>18.48</v>
      </c>
      <c r="C85" s="18" t="e">
        <v>#N/A</v>
      </c>
      <c r="D85" s="18" t="e">
        <v>#N/A</v>
      </c>
      <c r="E85" s="18" t="e">
        <v>#N/A</v>
      </c>
      <c r="F85" s="18" t="e">
        <v>#N/A</v>
      </c>
      <c r="G85" s="18" t="e">
        <v>#N/A</v>
      </c>
      <c r="I85" s="10">
        <f t="shared" si="3"/>
        <v>-6213485.8597243903</v>
      </c>
      <c r="J85" s="10">
        <f t="shared" si="4"/>
        <v>-1708459.0516224001</v>
      </c>
      <c r="K85" s="10">
        <f t="shared" si="5"/>
        <v>0</v>
      </c>
    </row>
    <row r="86" spans="1:11" x14ac:dyDescent="0.25">
      <c r="A86" s="8" t="str">
        <v>kw==</v>
      </c>
      <c r="B86" s="18">
        <v>11.76</v>
      </c>
      <c r="C86" s="18" t="e">
        <v>#N/A</v>
      </c>
      <c r="D86" s="18" t="e">
        <v>#N/A</v>
      </c>
      <c r="E86" s="18" t="e">
        <v>#N/A</v>
      </c>
      <c r="F86" s="18" t="e">
        <v>#N/A</v>
      </c>
      <c r="G86" s="18" t="e">
        <v>#N/A</v>
      </c>
      <c r="I86" s="10">
        <f t="shared" si="3"/>
        <v>-609717.06808801275</v>
      </c>
      <c r="J86" s="10">
        <f t="shared" si="4"/>
        <v>-270297.68048639991</v>
      </c>
      <c r="K86" s="10">
        <f t="shared" si="5"/>
        <v>0</v>
      </c>
    </row>
    <row r="87" spans="1:11" x14ac:dyDescent="0.25">
      <c r="A87" s="8" t="str">
        <v>9g==</v>
      </c>
      <c r="B87" s="18">
        <v>19.68</v>
      </c>
      <c r="C87" s="18" t="e">
        <v>#N/A</v>
      </c>
      <c r="D87" s="18" t="e">
        <v>#N/A</v>
      </c>
      <c r="E87" s="18" t="e">
        <v>#N/A</v>
      </c>
      <c r="F87" s="18" t="e">
        <v>#N/A</v>
      </c>
      <c r="G87" s="18" t="e">
        <v>#N/A</v>
      </c>
      <c r="I87" s="10">
        <f t="shared" si="3"/>
        <v>-8551300.4703816697</v>
      </c>
      <c r="J87" s="10">
        <f t="shared" si="4"/>
        <v>-2203570.9476863998</v>
      </c>
      <c r="K87" s="10">
        <f t="shared" si="5"/>
        <v>0</v>
      </c>
    </row>
  </sheetData>
  <mergeCells count="1">
    <mergeCell ref="M4:N4"/>
  </mergeCells>
  <conditionalFormatting sqref="K5:K87">
    <cfRule type="top10" dxfId="0" priority="1" rank="10"/>
  </conditionalFormatting>
  <hyperlinks>
    <hyperlink ref="A1" r:id="rId1" xr:uid="{AB542EA8-88EF-4D33-86CF-B4EAB7FBE8C9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tart">
                <anchor moveWithCells="1" sizeWithCells="1">
                  <from>
                    <xdr:col>16</xdr:col>
                    <xdr:colOff>104775</xdr:colOff>
                    <xdr:row>7</xdr:row>
                    <xdr:rowOff>0</xdr:rowOff>
                  </from>
                  <to>
                    <xdr:col>16</xdr:col>
                    <xdr:colOff>1104900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ntinue">
                <anchor moveWithCells="1" sizeWithCells="1">
                  <from>
                    <xdr:col>16</xdr:col>
                    <xdr:colOff>1295400</xdr:colOff>
                    <xdr:row>7</xdr:row>
                    <xdr:rowOff>0</xdr:rowOff>
                  </from>
                  <to>
                    <xdr:col>18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problem</vt:lpstr>
      <vt:lpstr>_cur</vt:lpstr>
      <vt:lpstr>_ipc</vt:lpstr>
      <vt:lpstr>_new</vt:lpstr>
      <vt:lpstr>_obj</vt:lpstr>
      <vt:lpstr>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user42</dc:creator>
  <cp:lastModifiedBy>user42</cp:lastModifiedBy>
  <dcterms:created xsi:type="dcterms:W3CDTF">2019-07-02T03:47:20Z</dcterms:created>
  <dcterms:modified xsi:type="dcterms:W3CDTF">2019-10-29T05:12:15Z</dcterms:modified>
</cp:coreProperties>
</file>